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gbedjeha\Downloads\"/>
    </mc:Choice>
  </mc:AlternateContent>
  <xr:revisionPtr revIDLastSave="0" documentId="13_ncr:1_{BABB0CED-3483-4007-B423-28FB20C8E2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ez-moi" sheetId="1" r:id="rId1"/>
    <sheet name="Projets" sheetId="2" r:id="rId2"/>
    <sheet name="Jalons" sheetId="3" r:id="rId3"/>
    <sheet name="Suivi_mensuel" sheetId="4" r:id="rId4"/>
    <sheet name="Risques" sheetId="5" r:id="rId5"/>
    <sheet name="KPIs_produit" sheetId="6" r:id="rId6"/>
    <sheet name="Calcul" sheetId="7" r:id="rId7"/>
    <sheet name="Dashboard" sheetId="8" r:id="rId8"/>
  </sheets>
  <definedNames>
    <definedName name="_xlnm._FilterDatabase" localSheetId="6" hidden="1">Calcul!$A$3:$L$13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7" l="1"/>
  <c r="D6" i="7"/>
  <c r="D7" i="7"/>
  <c r="D8" i="7"/>
  <c r="D9" i="7"/>
  <c r="D10" i="7"/>
  <c r="D11" i="7"/>
  <c r="D12" i="7"/>
  <c r="D13" i="7"/>
  <c r="D4" i="7"/>
  <c r="G5" i="7"/>
  <c r="G6" i="7"/>
  <c r="G7" i="7"/>
  <c r="G8" i="7"/>
  <c r="G9" i="7"/>
  <c r="G10" i="7"/>
  <c r="G11" i="7"/>
  <c r="G12" i="7"/>
  <c r="G13" i="7"/>
  <c r="G4" i="7"/>
  <c r="C4" i="7"/>
  <c r="C5" i="7"/>
  <c r="C6" i="7"/>
  <c r="F6" i="7" s="1"/>
  <c r="C7" i="7"/>
  <c r="F7" i="7" s="1"/>
  <c r="C8" i="7"/>
  <c r="C9" i="7"/>
  <c r="C10" i="7"/>
  <c r="C11" i="7"/>
  <c r="C12" i="7"/>
  <c r="C13" i="7"/>
  <c r="B5" i="7"/>
  <c r="B6" i="7"/>
  <c r="E6" i="7" s="1"/>
  <c r="B7" i="7"/>
  <c r="B8" i="7"/>
  <c r="E8" i="7" s="1"/>
  <c r="B9" i="7"/>
  <c r="B10" i="7"/>
  <c r="B11" i="7"/>
  <c r="E11" i="7" s="1"/>
  <c r="B12" i="7"/>
  <c r="B13" i="7"/>
  <c r="B4" i="7"/>
  <c r="E12" i="7" l="1"/>
  <c r="F5" i="7"/>
  <c r="E9" i="7"/>
  <c r="E5" i="7"/>
  <c r="E13" i="7"/>
  <c r="E10" i="7"/>
  <c r="E4" i="7"/>
  <c r="E7" i="7"/>
  <c r="H7" i="7" s="1"/>
  <c r="F9" i="7"/>
  <c r="H9" i="7" s="1"/>
  <c r="F8" i="7"/>
  <c r="I8" i="7" s="1"/>
  <c r="F12" i="7"/>
  <c r="E4" i="8"/>
  <c r="F11" i="7"/>
  <c r="I11" i="7" s="1"/>
  <c r="F10" i="7"/>
  <c r="F13" i="7"/>
  <c r="I13" i="7" s="1"/>
  <c r="F4" i="7"/>
  <c r="I4" i="7" s="1"/>
  <c r="I5" i="7"/>
  <c r="J5" i="7" s="1"/>
  <c r="I7" i="7"/>
  <c r="I6" i="7"/>
  <c r="H6" i="7"/>
  <c r="H5" i="7"/>
  <c r="H12" i="7" l="1"/>
  <c r="I12" i="7"/>
  <c r="I9" i="7"/>
  <c r="J9" i="7" s="1"/>
  <c r="K9" i="7" s="1"/>
  <c r="L5" i="7"/>
  <c r="H10" i="7"/>
  <c r="H11" i="7"/>
  <c r="L11" i="7" s="1"/>
  <c r="I10" i="7"/>
  <c r="J10" i="7" s="1"/>
  <c r="K10" i="7" s="1"/>
  <c r="H8" i="7"/>
  <c r="L8" i="7" s="1"/>
  <c r="H13" i="7"/>
  <c r="L13" i="7" s="1"/>
  <c r="H4" i="7"/>
  <c r="L4" i="7" s="1"/>
  <c r="K5" i="7"/>
  <c r="J7" i="7"/>
  <c r="K7" i="7" s="1"/>
  <c r="L7" i="7"/>
  <c r="J11" i="7"/>
  <c r="K11" i="7" s="1"/>
  <c r="J13" i="7"/>
  <c r="K13" i="7" s="1"/>
  <c r="J8" i="7"/>
  <c r="K8" i="7" s="1"/>
  <c r="J4" i="7"/>
  <c r="K4" i="7" s="1"/>
  <c r="L6" i="7"/>
  <c r="J6" i="7"/>
  <c r="K6" i="7" s="1"/>
  <c r="L12" i="7" l="1"/>
  <c r="L9" i="7"/>
  <c r="D4" i="8" s="1"/>
  <c r="L10" i="7"/>
  <c r="J12" i="7"/>
  <c r="K12" i="7" s="1"/>
  <c r="H4" i="8" s="1"/>
  <c r="F4" i="8" l="1"/>
  <c r="C4" i="8"/>
  <c r="B4" i="8"/>
</calcChain>
</file>

<file path=xl/sharedStrings.xml><?xml version="1.0" encoding="utf-8"?>
<sst xmlns="http://schemas.openxmlformats.org/spreadsheetml/2006/main" count="614" uniqueCount="243">
  <si>
    <t>Contexte</t>
  </si>
  <si>
    <t>La direction générale suit 10 produits digitaux. Vous êtes analyste au PMO : chaque mois, vous devez dire quels produits avancent, lesquels dérapent, et où agir.</t>
  </si>
  <si>
    <t>• Projets : fiche d'identité de chaque produit (budget, dates, priorité).</t>
  </si>
  <si>
    <t>• Jalons : 5 étapes par produit, dates prévues et réelles/estimées.</t>
  </si>
  <si>
    <t>• Suivi_mensuel : avancement prévu et réel (cumulés, en %) et dépenses cumulées, fin de chaque mois.</t>
  </si>
  <si>
    <t>• Risques : registre des risques avec probabilité et impact (échelle 1 à 3).</t>
  </si>
  <si>
    <t>• KPIs_produit : adoption des produits déjà lancés, cible vs réel.</t>
  </si>
  <si>
    <t>1. Valeur acquise au 30/09 : PV = Budget × avancement prévu ; EV = Budget × avancement réel ; AC = dépenses cumulées.</t>
  </si>
  <si>
    <t>2. SPI = EV / PV (délais) ; CPI = EV / AC (coûts) ; estimation du coût final EAC = Budget / CPI.</t>
  </si>
  <si>
    <t>3. Statut automatique Vert / Orange / Rouge à partir de règles écrites (ex. Rouge si SPI &lt; 0,85 ou CPI &lt; 0,85 ou jalon critique &gt; 30 jours de retard).</t>
  </si>
  <si>
    <t>4. Retard des jalons en jours et criticité des risques (probabilité × impact).</t>
  </si>
  <si>
    <t>Code</t>
  </si>
  <si>
    <t>Produit</t>
  </si>
  <si>
    <t>Catégorie</t>
  </si>
  <si>
    <t>Direction porteuse</t>
  </si>
  <si>
    <t>Product Owner</t>
  </si>
  <si>
    <t>Date début</t>
  </si>
  <si>
    <t>Date fin prévue</t>
  </si>
  <si>
    <t>Budget (M FCFA)</t>
  </si>
  <si>
    <t>Priorité</t>
  </si>
  <si>
    <t>P01</t>
  </si>
  <si>
    <t>Application mobile client V2</t>
  </si>
  <si>
    <t>Acquisition</t>
  </si>
  <si>
    <t>Direction Digitale</t>
  </si>
  <si>
    <t>A. Mensah</t>
  </si>
  <si>
    <t>P1</t>
  </si>
  <si>
    <t>P02</t>
  </si>
  <si>
    <t>Portail self-service web</t>
  </si>
  <si>
    <t>Efficacité opérationnelle</t>
  </si>
  <si>
    <t>Direction Relation Client</t>
  </si>
  <si>
    <t>K. Adjo</t>
  </si>
  <si>
    <t>P2</t>
  </si>
  <si>
    <t>P03</t>
  </si>
  <si>
    <t>Programme de fidélité</t>
  </si>
  <si>
    <t>Revenus</t>
  </si>
  <si>
    <t>Direction Marketing</t>
  </si>
  <si>
    <t>S. Diallo</t>
  </si>
  <si>
    <t>P04</t>
  </si>
  <si>
    <t>Paiement marchand par QR code</t>
  </si>
  <si>
    <t>Y. Kossi</t>
  </si>
  <si>
    <t>P05</t>
  </si>
  <si>
    <t>Chatbot service client</t>
  </si>
  <si>
    <t>M. Traoré</t>
  </si>
  <si>
    <t>P06</t>
  </si>
  <si>
    <t>Migration du CRM</t>
  </si>
  <si>
    <t>Direction SI</t>
  </si>
  <si>
    <t>E. Amegan</t>
  </si>
  <si>
    <t>P07</t>
  </si>
  <si>
    <t>Plateforme data (datalake)</t>
  </si>
  <si>
    <t>Data</t>
  </si>
  <si>
    <t>F. Bamba</t>
  </si>
  <si>
    <t>P08</t>
  </si>
  <si>
    <t>Marketplace partenaires</t>
  </si>
  <si>
    <t>Direction Partenariats</t>
  </si>
  <si>
    <t>R. Agbeko</t>
  </si>
  <si>
    <t>P09</t>
  </si>
  <si>
    <t>Onboarding eKYC</t>
  </si>
  <si>
    <t>L. Sow</t>
  </si>
  <si>
    <t>P10</t>
  </si>
  <si>
    <t>Tableaux de bord BI de direction</t>
  </si>
  <si>
    <t>Direction Finance</t>
  </si>
  <si>
    <t>N. Kouassi</t>
  </si>
  <si>
    <t>P3</t>
  </si>
  <si>
    <t>Code produit</t>
  </si>
  <si>
    <t>ID jalon</t>
  </si>
  <si>
    <t>Jalon</t>
  </si>
  <si>
    <t>Date prévue</t>
  </si>
  <si>
    <t>Date réelle / estimée</t>
  </si>
  <si>
    <t>Statut</t>
  </si>
  <si>
    <t>Jalon critique</t>
  </si>
  <si>
    <t>P01-J1</t>
  </si>
  <si>
    <t>Cadrage</t>
  </si>
  <si>
    <t>Terminé</t>
  </si>
  <si>
    <t>Non</t>
  </si>
  <si>
    <t>P01-J2</t>
  </si>
  <si>
    <t>Conception</t>
  </si>
  <si>
    <t>P01-J3</t>
  </si>
  <si>
    <t>Développement</t>
  </si>
  <si>
    <t>Oui</t>
  </si>
  <si>
    <t>P01-J4</t>
  </si>
  <si>
    <t>Recette</t>
  </si>
  <si>
    <t>P01-J5</t>
  </si>
  <si>
    <t>Lancement</t>
  </si>
  <si>
    <t>P02-J1</t>
  </si>
  <si>
    <t>P02-J2</t>
  </si>
  <si>
    <t>P02-J3</t>
  </si>
  <si>
    <t>P02-J4</t>
  </si>
  <si>
    <t>En cours</t>
  </si>
  <si>
    <t>P02-J5</t>
  </si>
  <si>
    <t>À venir</t>
  </si>
  <si>
    <t>P03-J1</t>
  </si>
  <si>
    <t>P03-J2</t>
  </si>
  <si>
    <t>P03-J3</t>
  </si>
  <si>
    <t>P03-J4</t>
  </si>
  <si>
    <t>En retard</t>
  </si>
  <si>
    <t>P03-J5</t>
  </si>
  <si>
    <t>P04-J1</t>
  </si>
  <si>
    <t>P04-J2</t>
  </si>
  <si>
    <t>P04-J3</t>
  </si>
  <si>
    <t>P04-J4</t>
  </si>
  <si>
    <t>P04-J5</t>
  </si>
  <si>
    <t>P05-J1</t>
  </si>
  <si>
    <t>P05-J2</t>
  </si>
  <si>
    <t>P05-J3</t>
  </si>
  <si>
    <t>P05-J4</t>
  </si>
  <si>
    <t>P05-J5</t>
  </si>
  <si>
    <t>P06-J1</t>
  </si>
  <si>
    <t>P06-J2</t>
  </si>
  <si>
    <t>P06-J3</t>
  </si>
  <si>
    <t>P06-J4</t>
  </si>
  <si>
    <t>P06-J5</t>
  </si>
  <si>
    <t>P07-J1</t>
  </si>
  <si>
    <t>P07-J2</t>
  </si>
  <si>
    <t>P07-J3</t>
  </si>
  <si>
    <t>P07-J4</t>
  </si>
  <si>
    <t>P07-J5</t>
  </si>
  <si>
    <t>P08-J1</t>
  </si>
  <si>
    <t>P08-J2</t>
  </si>
  <si>
    <t>P08-J3</t>
  </si>
  <si>
    <t>P08-J4</t>
  </si>
  <si>
    <t>P08-J5</t>
  </si>
  <si>
    <t>P09-J1</t>
  </si>
  <si>
    <t>P09-J2</t>
  </si>
  <si>
    <t>P09-J3</t>
  </si>
  <si>
    <t>P09-J4</t>
  </si>
  <si>
    <t>P09-J5</t>
  </si>
  <si>
    <t>P10-J1</t>
  </si>
  <si>
    <t>P10-J2</t>
  </si>
  <si>
    <t>P10-J3</t>
  </si>
  <si>
    <t>P10-J4</t>
  </si>
  <si>
    <t>P10-J5</t>
  </si>
  <si>
    <t>Fin de mois</t>
  </si>
  <si>
    <t>Avancement prévu (cumulé)</t>
  </si>
  <si>
    <t>Avancement réel (cumulé)</t>
  </si>
  <si>
    <t>Dépenses cumulées (M FCFA)</t>
  </si>
  <si>
    <t>ID risque</t>
  </si>
  <si>
    <t>Description</t>
  </si>
  <si>
    <t>Probabilité (1-3)</t>
  </si>
  <si>
    <t>Impact (1-3)</t>
  </si>
  <si>
    <t>Responsable</t>
  </si>
  <si>
    <t>Action corrective</t>
  </si>
  <si>
    <t>Échéance action</t>
  </si>
  <si>
    <t>R01</t>
  </si>
  <si>
    <t>Faible adhésion des partenaires commerciaux au programme</t>
  </si>
  <si>
    <t>Relancer 5 partenaires clés avec offre co-marketing</t>
  </si>
  <si>
    <t>Ouvert</t>
  </si>
  <si>
    <t>R02</t>
  </si>
  <si>
    <t>Dépassement du budget lié aux récompenses clients</t>
  </si>
  <si>
    <t>Plafonner les récompenses du trimestre 4</t>
  </si>
  <si>
    <t>R03</t>
  </si>
  <si>
    <t>Qualité des données clients insuffisante pour la migration</t>
  </si>
  <si>
    <t>Campagne de nettoyage des doublons avant bascule</t>
  </si>
  <si>
    <t>R04</t>
  </si>
  <si>
    <t>Indisponibilité de l'intégrateur externe</t>
  </si>
  <si>
    <t>Négocier une équipe dédiée au contrat</t>
  </si>
  <si>
    <t>R05</t>
  </si>
  <si>
    <t>Résistance au changement des équipes commerciales</t>
  </si>
  <si>
    <t>Direction Commerciale</t>
  </si>
  <si>
    <t>Plan de formation et ambassadeurs internes</t>
  </si>
  <si>
    <t>R06</t>
  </si>
  <si>
    <t>Retard de validation réglementaire du paiement QR</t>
  </si>
  <si>
    <t>Direction Juridique</t>
  </si>
  <si>
    <t>Réunion d'arbitrage avec le régulateur</t>
  </si>
  <si>
    <t>R07</t>
  </si>
  <si>
    <t>Faible équipement des commerçants en smartphones</t>
  </si>
  <si>
    <t>Kit QR imprimé pour les commerçants</t>
  </si>
  <si>
    <t>R08</t>
  </si>
  <si>
    <t>Bugs critiques remontés en recette sur Android ancien</t>
  </si>
  <si>
    <t>Sprint correctif dédié</t>
  </si>
  <si>
    <t>R09</t>
  </si>
  <si>
    <t>Charge serveur lors des pics de connexion</t>
  </si>
  <si>
    <t>Test de charge avant mise en production</t>
  </si>
  <si>
    <t>R10</t>
  </si>
  <si>
    <t>Réponses du chatbot jugées imprécises</t>
  </si>
  <si>
    <t>Enrichir la base de questions fréquentes</t>
  </si>
  <si>
    <t>R11</t>
  </si>
  <si>
    <t>Montée en compétence de l'équipe data</t>
  </si>
  <si>
    <t>Formation cloud pour 4 ingénieurs</t>
  </si>
  <si>
    <t>R12</t>
  </si>
  <si>
    <t>Sécurité et confidentialité des données</t>
  </si>
  <si>
    <t>Audit sécurité avant ouverture</t>
  </si>
  <si>
    <t>R13</t>
  </si>
  <si>
    <t>Contrats partenaires non finalisés</t>
  </si>
  <si>
    <t>Modèle de contrat standard</t>
  </si>
  <si>
    <t>R14</t>
  </si>
  <si>
    <t>Commission jugée trop élevée par les vendeurs</t>
  </si>
  <si>
    <t>Étude de sensibilité sur le taux</t>
  </si>
  <si>
    <t>R15</t>
  </si>
  <si>
    <t>Taux d'échec de vérification d'identité élevé</t>
  </si>
  <si>
    <t>Améliorer la capture photo</t>
  </si>
  <si>
    <t>Clos</t>
  </si>
  <si>
    <t>R16</t>
  </si>
  <si>
    <t>Sources de données financières non fiabilisées</t>
  </si>
  <si>
    <t>Désigner un responsable par source</t>
  </si>
  <si>
    <t>R17</t>
  </si>
  <si>
    <t>Dépendance à un seul développeur mobile senior</t>
  </si>
  <si>
    <t>Binôme et documentation du code</t>
  </si>
  <si>
    <t>R18</t>
  </si>
  <si>
    <t>Double saisie pendant la période de transition</t>
  </si>
  <si>
    <t>Limiter la transition à 2 semaines</t>
  </si>
  <si>
    <t>Indicateur</t>
  </si>
  <si>
    <t>Mois</t>
  </si>
  <si>
    <t>Cible</t>
  </si>
  <si>
    <t>Réel</t>
  </si>
  <si>
    <t>Comptes ouverts en ligne / mois</t>
  </si>
  <si>
    <t>Taux de validation automatique</t>
  </si>
  <si>
    <t>Utilisateurs actifs mensuels</t>
  </si>
  <si>
    <t>Note moyenne sur les stores</t>
  </si>
  <si>
    <t>Avancement prévu</t>
  </si>
  <si>
    <t xml:space="preserve"> Avancement réel (cumulé)</t>
  </si>
  <si>
    <t>PV (valeur planifiée en M)</t>
  </si>
  <si>
    <t>EV ( valeur acquise en M)</t>
  </si>
  <si>
    <t>AC (coûts réels)</t>
  </si>
  <si>
    <t>SPI</t>
  </si>
  <si>
    <t>CPI</t>
  </si>
  <si>
    <t>SPI (Indice de performance des délais)</t>
  </si>
  <si>
    <t>CPI (Indice de performance des coûts)</t>
  </si>
  <si>
    <t>EAC ( estimation de coût final)</t>
  </si>
  <si>
    <t>VAC ( Ecart prévu à la fin )</t>
  </si>
  <si>
    <t>Budget</t>
  </si>
  <si>
    <t>Rouge</t>
  </si>
  <si>
    <t>Orange</t>
  </si>
  <si>
    <t>Dépassement attendu</t>
  </si>
  <si>
    <t>Produits en rouge</t>
  </si>
  <si>
    <t>Produits en orange</t>
  </si>
  <si>
    <t>Produits en vert</t>
  </si>
  <si>
    <t>Budget Total</t>
  </si>
  <si>
    <t>Coût final estimé</t>
  </si>
  <si>
    <t>Rang</t>
  </si>
  <si>
    <t>Actions à arbitrer</t>
  </si>
  <si>
    <t>P06 - Migration du CRM</t>
  </si>
  <si>
    <t>P03 - Programme de fidelité</t>
  </si>
  <si>
    <t>P08 - Marketplace partenaires</t>
  </si>
  <si>
    <t>Relancer les partenaires , plafonner les récompenses</t>
  </si>
  <si>
    <t>Nettoyage des données clients avant bascule</t>
  </si>
  <si>
    <t>Finaliser le contrat type partenaires</t>
  </si>
  <si>
    <t>Les trois produits à débloquer en priorité</t>
  </si>
  <si>
    <r>
      <t xml:space="preserve">PORTEFEUILLE PRODUITS DIGITAUX                                                                                                                                                                                  </t>
    </r>
    <r>
      <rPr>
        <b/>
        <sz val="10"/>
        <color theme="0"/>
        <rFont val="Avenir Next LT Pro"/>
        <family val="2"/>
      </rPr>
      <t>Situation au  31/08/2026 - Montants en M FCFA</t>
    </r>
  </si>
  <si>
    <t>Date de situation : 31/08/2026. Montants en millions de FCFA.</t>
  </si>
  <si>
    <t xml:space="preserve">Tables </t>
  </si>
  <si>
    <t>Données synthétiques</t>
  </si>
  <si>
    <t>Calcul</t>
  </si>
  <si>
    <t>Cas pratique - Pilotage d'un portefeuille de produits digitaux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</si>
</sst>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0.0"/>
  </numFmts>
  <fonts count="22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11"/>
      <color rgb="FFC00000"/>
      <name val="Arial"/>
    </font>
    <font>
      <sz val="11"/>
      <name val="Arial"/>
    </font>
    <font>
      <b/>
      <sz val="11"/>
      <name val="Arial"/>
    </font>
    <font>
      <b/>
      <sz val="11"/>
      <color rgb="FFFFFFFF"/>
      <name val="Arial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Avenir Next LT Pro"/>
      <family val="2"/>
    </font>
    <font>
      <b/>
      <sz val="10"/>
      <color theme="0"/>
      <name val="Avenir Next LT Pro"/>
      <family val="2"/>
    </font>
    <font>
      <b/>
      <sz val="20"/>
      <color rgb="FFFF0066"/>
      <name val="Calibri"/>
      <family val="2"/>
      <scheme val="minor"/>
    </font>
    <font>
      <b/>
      <sz val="20"/>
      <color theme="9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4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2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0" tint="-0.249977111117893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0" fontId="3" fillId="0" borderId="0" xfId="0" applyFont="1"/>
    <xf numFmtId="14" fontId="3" fillId="0" borderId="0" xfId="0" applyNumberFormat="1" applyFont="1"/>
    <xf numFmtId="3" fontId="3" fillId="0" borderId="0" xfId="0" applyNumberFormat="1" applyFont="1"/>
    <xf numFmtId="17" fontId="3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9" fontId="3" fillId="0" borderId="0" xfId="0" applyNumberFormat="1" applyFont="1"/>
    <xf numFmtId="166" fontId="3" fillId="0" borderId="0" xfId="0" applyNumberFormat="1" applyFont="1"/>
    <xf numFmtId="9" fontId="0" fillId="0" borderId="0" xfId="0" applyNumberFormat="1"/>
    <xf numFmtId="0" fontId="6" fillId="0" borderId="0" xfId="0" applyFont="1"/>
    <xf numFmtId="1" fontId="0" fillId="0" borderId="0" xfId="0" applyNumberFormat="1"/>
    <xf numFmtId="2" fontId="0" fillId="0" borderId="0" xfId="0" applyNumberFormat="1"/>
    <xf numFmtId="14" fontId="6" fillId="3" borderId="0" xfId="0" applyNumberFormat="1" applyFont="1" applyFill="1" applyAlignment="1">
      <alignment horizontal="left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8" fillId="4" borderId="0" xfId="0" applyFont="1" applyFill="1"/>
    <xf numFmtId="0" fontId="7" fillId="0" borderId="0" xfId="0" applyFont="1"/>
    <xf numFmtId="0" fontId="20" fillId="0" borderId="0" xfId="0" applyFont="1"/>
    <xf numFmtId="0" fontId="19" fillId="4" borderId="1" xfId="0" applyFont="1" applyFill="1" applyBorder="1"/>
    <xf numFmtId="0" fontId="0" fillId="4" borderId="0" xfId="0" applyFill="1" applyAlignment="1">
      <alignment horizontal="left"/>
    </xf>
    <xf numFmtId="0" fontId="16" fillId="4" borderId="0" xfId="0" applyFont="1" applyFill="1" applyAlignment="1">
      <alignment horizontal="left"/>
    </xf>
    <xf numFmtId="2" fontId="0" fillId="4" borderId="0" xfId="0" applyNumberFormat="1" applyFill="1" applyAlignment="1">
      <alignment horizontal="left"/>
    </xf>
    <xf numFmtId="1" fontId="16" fillId="4" borderId="0" xfId="0" applyNumberFormat="1" applyFont="1" applyFill="1" applyAlignment="1">
      <alignment horizontal="left"/>
    </xf>
    <xf numFmtId="0" fontId="0" fillId="4" borderId="0" xfId="0" applyFill="1"/>
    <xf numFmtId="0" fontId="17" fillId="4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10" fillId="5" borderId="0" xfId="0" applyFont="1" applyFill="1" applyAlignment="1">
      <alignment horizontal="left" vertical="center"/>
    </xf>
    <xf numFmtId="1" fontId="21" fillId="4" borderId="0" xfId="0" applyNumberFormat="1" applyFont="1" applyFill="1" applyAlignment="1">
      <alignment horizontal="center" vertical="center"/>
    </xf>
    <xf numFmtId="3" fontId="14" fillId="4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ill>
        <patternFill>
          <bgColor theme="9"/>
        </patternFill>
      </fill>
    </dxf>
    <dxf>
      <fill>
        <patternFill>
          <bgColor rgb="FFFF0066"/>
        </patternFill>
      </fill>
    </dxf>
  </dxfs>
  <tableStyles count="0" defaultTableStyle="TableStyleMedium9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solidFill>
                  <a:schemeClr val="tx2"/>
                </a:solidFill>
              </a:rPr>
              <a:t>P03, P04 et P06 cumulent retard ; </a:t>
            </a:r>
            <a:r>
              <a:rPr lang="fr-FR" sz="1400" b="1" i="0" u="none" strike="noStrike" kern="1200" spc="0" baseline="0">
                <a:solidFill>
                  <a:schemeClr val="tx2"/>
                </a:solidFill>
              </a:rPr>
              <a:t>P03 et P06 dérapent aussi en </a:t>
            </a:r>
            <a:r>
              <a:rPr lang="fr-FR" sz="1400" b="1" i="0" u="none" strike="noStrike" baseline="0">
                <a:solidFill>
                  <a:schemeClr val="tx2"/>
                </a:solidFill>
              </a:rPr>
              <a:t>coûts</a:t>
            </a:r>
            <a:endParaRPr lang="en-US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Calcul!$I$3</c:f>
              <c:strCache>
                <c:ptCount val="1"/>
                <c:pt idx="0">
                  <c:v>CPI (Indice de performance des coûts)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D24-4E1E-90C6-74D29E15BB41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chemeClr val="accent3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D24-4E1E-90C6-74D29E15BB41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rgbClr val="FF0066"/>
                </a:solidFill>
                <a:ln w="9525">
                  <a:solidFill>
                    <a:srgbClr val="FF006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D24-4E1E-90C6-74D29E15BB41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66"/>
                </a:solidFill>
                <a:ln w="9525">
                  <a:solidFill>
                    <a:srgbClr val="FF006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D24-4E1E-90C6-74D29E15BB41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D24-4E1E-90C6-74D29E15BB41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rgbClr val="FF0066"/>
                </a:solidFill>
                <a:ln w="9525">
                  <a:solidFill>
                    <a:srgbClr val="FF0066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D24-4E1E-90C6-74D29E15BB41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D24-4E1E-90C6-74D29E15BB41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75000"/>
                  </a:schemeClr>
                </a:solidFill>
                <a:ln w="9525">
                  <a:solidFill>
                    <a:schemeClr val="accent6">
                      <a:lumMod val="75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D24-4E1E-90C6-74D29E15BB41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D24-4E1E-90C6-74D29E15BB41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D24-4E1E-90C6-74D29E15BB4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1ABF116-299D-4221-A4FB-A233EB1AC27B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D24-4E1E-90C6-74D29E15BB41}"/>
                </c:ext>
              </c:extLst>
            </c:dLbl>
            <c:dLbl>
              <c:idx val="1"/>
              <c:layout>
                <c:manualLayout>
                  <c:x val="0"/>
                  <c:y val="-9.2592592592592615E-2"/>
                </c:manualLayout>
              </c:layout>
              <c:tx>
                <c:rich>
                  <a:bodyPr/>
                  <a:lstStyle/>
                  <a:p>
                    <a:fld id="{61F65F23-8302-46AE-B99E-4F442591782F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D24-4E1E-90C6-74D29E15BB4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CCD6F05-9E5E-4E67-89BF-CBB664C3A0E9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D24-4E1E-90C6-74D29E15BB4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D4E895-EA5E-409A-B7D8-45D59FE6D756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D24-4E1E-90C6-74D29E15BB4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0383F21-9DD2-49B3-96E0-488E2EF6C7C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D24-4E1E-90C6-74D29E15BB4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CA8365F-BAA3-4EBD-8354-399C6E1AB813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D24-4E1E-90C6-74D29E15BB4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4190E54-66E4-40A1-953F-18683544C38E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D24-4E1E-90C6-74D29E15BB4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C735D06-35A5-4BDB-A844-9A77D0B017BC}" type="CELLRANGE">
                      <a:rPr lang="fr-FR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D24-4E1E-90C6-74D29E15BB41}"/>
                </c:ext>
              </c:extLst>
            </c:dLbl>
            <c:dLbl>
              <c:idx val="8"/>
              <c:layout>
                <c:manualLayout>
                  <c:x val="6.3888888888888787E-2"/>
                  <c:y val="1.3888888888888846E-2"/>
                </c:manualLayout>
              </c:layout>
              <c:tx>
                <c:rich>
                  <a:bodyPr/>
                  <a:lstStyle/>
                  <a:p>
                    <a:fld id="{B3A49E68-199F-4AEB-963A-E37A28723AC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D24-4E1E-90C6-74D29E15BB41}"/>
                </c:ext>
              </c:extLst>
            </c:dLbl>
            <c:dLbl>
              <c:idx val="9"/>
              <c:layout>
                <c:manualLayout>
                  <c:x val="8.3333333333332309E-3"/>
                  <c:y val="0.10185185185185189"/>
                </c:manualLayout>
              </c:layout>
              <c:tx>
                <c:rich>
                  <a:bodyPr/>
                  <a:lstStyle/>
                  <a:p>
                    <a:fld id="{263AD7AA-C639-4971-A7BD-585259E250FD}" type="CELLRANGE">
                      <a:rPr lang="en-US"/>
                      <a:pPr/>
                      <a:t>[PLAGECELL]</a:t>
                    </a:fld>
                    <a:endParaRPr lang="fr-FR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D24-4E1E-90C6-74D29E15BB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Calcul!$H$4:$H$13</c:f>
              <c:numCache>
                <c:formatCode>0.00</c:formatCode>
                <c:ptCount val="10"/>
                <c:pt idx="0">
                  <c:v>0.96500000000000008</c:v>
                </c:pt>
                <c:pt idx="1">
                  <c:v>1.0055432372505542</c:v>
                </c:pt>
                <c:pt idx="2">
                  <c:v>0.71800000000000008</c:v>
                </c:pt>
                <c:pt idx="3">
                  <c:v>0.80151706700379266</c:v>
                </c:pt>
                <c:pt idx="4">
                  <c:v>1.0274841437632136</c:v>
                </c:pt>
                <c:pt idx="5">
                  <c:v>0.77651083238312435</c:v>
                </c:pt>
                <c:pt idx="6">
                  <c:v>0.94006849315068508</c:v>
                </c:pt>
                <c:pt idx="7">
                  <c:v>0.90800000000000014</c:v>
                </c:pt>
                <c:pt idx="8">
                  <c:v>1</c:v>
                </c:pt>
                <c:pt idx="9">
                  <c:v>1.0103550295857988</c:v>
                </c:pt>
              </c:numCache>
            </c:numRef>
          </c:xVal>
          <c:yVal>
            <c:numRef>
              <c:f>Calcul!$I$4:$I$13</c:f>
              <c:numCache>
                <c:formatCode>0.00</c:formatCode>
                <c:ptCount val="10"/>
                <c:pt idx="0">
                  <c:v>0.97310924369747898</c:v>
                </c:pt>
                <c:pt idx="1">
                  <c:v>1.0406884377758163</c:v>
                </c:pt>
                <c:pt idx="2">
                  <c:v>0.80423148724331062</c:v>
                </c:pt>
                <c:pt idx="3">
                  <c:v>0.93589202867988197</c:v>
                </c:pt>
                <c:pt idx="4">
                  <c:v>1.070091743119266</c:v>
                </c:pt>
                <c:pt idx="5">
                  <c:v>0.85166748406081416</c:v>
                </c:pt>
                <c:pt idx="6">
                  <c:v>0.99780386217341921</c:v>
                </c:pt>
                <c:pt idx="7">
                  <c:v>0.92527173913043492</c:v>
                </c:pt>
                <c:pt idx="8">
                  <c:v>1.0121457489878543</c:v>
                </c:pt>
                <c:pt idx="9">
                  <c:v>1.0110197368421054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Calcul!$A$4:$A$13</c15:f>
                <c15:dlblRangeCache>
                  <c:ptCount val="10"/>
                  <c:pt idx="0">
                    <c:v>P01</c:v>
                  </c:pt>
                  <c:pt idx="1">
                    <c:v>P02</c:v>
                  </c:pt>
                  <c:pt idx="2">
                    <c:v>P03</c:v>
                  </c:pt>
                  <c:pt idx="3">
                    <c:v>P04</c:v>
                  </c:pt>
                  <c:pt idx="4">
                    <c:v>P05</c:v>
                  </c:pt>
                  <c:pt idx="5">
                    <c:v>P06</c:v>
                  </c:pt>
                  <c:pt idx="6">
                    <c:v>P07</c:v>
                  </c:pt>
                  <c:pt idx="7">
                    <c:v>P08</c:v>
                  </c:pt>
                  <c:pt idx="8">
                    <c:v>P09</c:v>
                  </c:pt>
                  <c:pt idx="9">
                    <c:v>P10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D24-4E1E-90C6-74D29E15BB4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930288767"/>
        <c:axId val="1219989407"/>
      </c:scatterChart>
      <c:valAx>
        <c:axId val="930288767"/>
        <c:scaling>
          <c:orientation val="minMax"/>
          <c:max val="1.1000000000000001"/>
          <c:min val="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 i="0" u="none" strike="noStrike" baseline="0">
                    <a:solidFill>
                      <a:schemeClr val="tx2"/>
                    </a:solidFill>
                  </a:rPr>
                  <a:t>SPI - Respect des délais</a:t>
                </a:r>
                <a:endParaRPr lang="fr-FR" sz="1200" b="1">
                  <a:solidFill>
                    <a:schemeClr val="tx2"/>
                  </a:solidFill>
                </a:endParaRPr>
              </a:p>
            </c:rich>
          </c:tx>
          <c:layout>
            <c:manualLayout>
              <c:xMode val="edge"/>
              <c:yMode val="edge"/>
              <c:x val="0.40580096237970248"/>
              <c:y val="0.892711668714045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9989407"/>
        <c:crossesAt val="1"/>
        <c:crossBetween val="midCat"/>
      </c:valAx>
      <c:valAx>
        <c:axId val="1219989407"/>
        <c:scaling>
          <c:orientation val="minMax"/>
          <c:min val="0.60000000000000009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200" b="1" i="0" u="none" strike="noStrike" baseline="0">
                    <a:solidFill>
                      <a:schemeClr val="tx2"/>
                    </a:solidFill>
                  </a:rPr>
                  <a:t>CPI - Respect du budget</a:t>
                </a:r>
                <a:endParaRPr lang="fr-FR" sz="1200" b="1">
                  <a:solidFill>
                    <a:schemeClr val="tx2"/>
                  </a:solidFill>
                </a:endParaRPr>
              </a:p>
            </c:rich>
          </c:tx>
          <c:layout>
            <c:manualLayout>
              <c:xMode val="edge"/>
              <c:yMode val="edge"/>
              <c:x val="1.6666666666666666E-2"/>
              <c:y val="0.273799262943794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30288767"/>
        <c:crossesAt val="1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FR" sz="1400" b="1" i="0" u="none" strike="noStrike" baseline="0">
                <a:solidFill>
                  <a:schemeClr val="tx2"/>
                </a:solidFill>
              </a:rPr>
              <a:t>Dépassement attendu de 173 M FCFA, dont 89 M sur le CRM (P06)</a:t>
            </a:r>
            <a:endParaRPr lang="fr-FR" b="1">
              <a:solidFill>
                <a:schemeClr val="tx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Calcul!$D$3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cat>
            <c:strRef>
              <c:f>Calcul!$A$4:$A$13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Calcul!$D$4:$D$13</c:f>
              <c:numCache>
                <c:formatCode>0</c:formatCode>
                <c:ptCount val="10"/>
                <c:pt idx="0">
                  <c:v>420</c:v>
                </c:pt>
                <c:pt idx="1">
                  <c:v>260</c:v>
                </c:pt>
                <c:pt idx="2">
                  <c:v>180</c:v>
                </c:pt>
                <c:pt idx="3">
                  <c:v>350</c:v>
                </c:pt>
                <c:pt idx="4">
                  <c:v>120</c:v>
                </c:pt>
                <c:pt idx="5">
                  <c:v>510</c:v>
                </c:pt>
                <c:pt idx="6">
                  <c:v>480</c:v>
                </c:pt>
                <c:pt idx="7">
                  <c:v>300</c:v>
                </c:pt>
                <c:pt idx="8">
                  <c:v>150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65-4DC3-9900-9C957EA80759}"/>
            </c:ext>
          </c:extLst>
        </c:ser>
        <c:ser>
          <c:idx val="1"/>
          <c:order val="1"/>
          <c:tx>
            <c:strRef>
              <c:f>Calcul!$J$3</c:f>
              <c:strCache>
                <c:ptCount val="1"/>
                <c:pt idx="0">
                  <c:v>EAC ( estimation de coût final)</c:v>
                </c:pt>
              </c:strCache>
            </c:strRef>
          </c:tx>
          <c:spPr>
            <a:solidFill>
              <a:schemeClr val="tx2"/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D65-4DC3-9900-9C957EA80759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65-4DC3-9900-9C957EA8075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D65-4DC3-9900-9C957EA80759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65-4DC3-9900-9C957EA80759}"/>
              </c:ext>
            </c:extLst>
          </c:dPt>
          <c:cat>
            <c:strRef>
              <c:f>Calcul!$A$4:$A$13</c:f>
              <c:strCache>
                <c:ptCount val="10"/>
                <c:pt idx="0">
                  <c:v>P01</c:v>
                </c:pt>
                <c:pt idx="1">
                  <c:v>P02</c:v>
                </c:pt>
                <c:pt idx="2">
                  <c:v>P03</c:v>
                </c:pt>
                <c:pt idx="3">
                  <c:v>P04</c:v>
                </c:pt>
                <c:pt idx="4">
                  <c:v>P05</c:v>
                </c:pt>
                <c:pt idx="5">
                  <c:v>P06</c:v>
                </c:pt>
                <c:pt idx="6">
                  <c:v>P07</c:v>
                </c:pt>
                <c:pt idx="7">
                  <c:v>P08</c:v>
                </c:pt>
                <c:pt idx="8">
                  <c:v>P09</c:v>
                </c:pt>
                <c:pt idx="9">
                  <c:v>P10</c:v>
                </c:pt>
              </c:strCache>
            </c:strRef>
          </c:cat>
          <c:val>
            <c:numRef>
              <c:f>Calcul!$J$4:$J$13</c:f>
              <c:numCache>
                <c:formatCode>0</c:formatCode>
                <c:ptCount val="10"/>
                <c:pt idx="0">
                  <c:v>431.6062176165803</c:v>
                </c:pt>
                <c:pt idx="1">
                  <c:v>249.83461962513783</c:v>
                </c:pt>
                <c:pt idx="2">
                  <c:v>223.8161559888579</c:v>
                </c:pt>
                <c:pt idx="3">
                  <c:v>373.97476340694004</c:v>
                </c:pt>
                <c:pt idx="4">
                  <c:v>112.13991769547326</c:v>
                </c:pt>
                <c:pt idx="5">
                  <c:v>598.82525697503672</c:v>
                </c:pt>
                <c:pt idx="6">
                  <c:v>481.05646630236794</c:v>
                </c:pt>
                <c:pt idx="7">
                  <c:v>324.22907488986777</c:v>
                </c:pt>
                <c:pt idx="8">
                  <c:v>148.19999999999999</c:v>
                </c:pt>
                <c:pt idx="9">
                  <c:v>89.019033674963381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65-4DC3-9900-9C957EA80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172159"/>
        <c:axId val="1344526879"/>
      </c:barChart>
      <c:catAx>
        <c:axId val="1484172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44526879"/>
        <c:crosses val="autoZero"/>
        <c:auto val="1"/>
        <c:lblAlgn val="ctr"/>
        <c:lblOffset val="100"/>
        <c:noMultiLvlLbl val="0"/>
      </c:catAx>
      <c:valAx>
        <c:axId val="1344526879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84172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129540</xdr:rowOff>
    </xdr:from>
    <xdr:to>
      <xdr:col>0</xdr:col>
      <xdr:colOff>160019</xdr:colOff>
      <xdr:row>6</xdr:row>
      <xdr:rowOff>7620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7CF5C26-495B-8197-8FEB-186D12A47A04}"/>
            </a:ext>
          </a:extLst>
        </xdr:cNvPr>
        <xdr:cNvSpPr/>
      </xdr:nvSpPr>
      <xdr:spPr>
        <a:xfrm>
          <a:off x="114300" y="533400"/>
          <a:ext cx="45719" cy="746760"/>
        </a:xfrm>
        <a:prstGeom prst="rect">
          <a:avLst/>
        </a:prstGeom>
        <a:solidFill>
          <a:srgbClr val="FF0000"/>
        </a:solidFill>
        <a:ln>
          <a:solidFill>
            <a:srgbClr val="FF006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0</xdr:col>
      <xdr:colOff>102869</xdr:colOff>
      <xdr:row>7</xdr:row>
      <xdr:rowOff>33020</xdr:rowOff>
    </xdr:from>
    <xdr:to>
      <xdr:col>4</xdr:col>
      <xdr:colOff>1574800</xdr:colOff>
      <xdr:row>26</xdr:row>
      <xdr:rowOff>30480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4D0D6AA-8896-45D9-BDAC-A546480C9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472440</xdr:colOff>
      <xdr:row>18</xdr:row>
      <xdr:rowOff>125730</xdr:rowOff>
    </xdr:from>
    <xdr:to>
      <xdr:col>2</xdr:col>
      <xdr:colOff>1397000</xdr:colOff>
      <xdr:row>20</xdr:row>
      <xdr:rowOff>167640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966E6C8-817F-8A44-03C2-070DD1AC068B}"/>
            </a:ext>
          </a:extLst>
        </xdr:cNvPr>
        <xdr:cNvSpPr/>
      </xdr:nvSpPr>
      <xdr:spPr>
        <a:xfrm>
          <a:off x="2887980" y="3638550"/>
          <a:ext cx="924560" cy="4076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FR" sz="900" b="1" i="1">
              <a:solidFill>
                <a:sysClr val="windowText" lastClr="000000"/>
              </a:solidFill>
            </a:rPr>
            <a:t>En retard et trop cher</a:t>
          </a:r>
        </a:p>
      </xdr:txBody>
    </xdr:sp>
    <xdr:clientData/>
  </xdr:twoCellAnchor>
  <xdr:twoCellAnchor>
    <xdr:from>
      <xdr:col>5</xdr:col>
      <xdr:colOff>190500</xdr:colOff>
      <xdr:row>7</xdr:row>
      <xdr:rowOff>36830</xdr:rowOff>
    </xdr:from>
    <xdr:to>
      <xdr:col>8</xdr:col>
      <xdr:colOff>66675</xdr:colOff>
      <xdr:row>26</xdr:row>
      <xdr:rowOff>53340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2445F6A-961F-4A3C-8ED4-CAC5501354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1958340</xdr:colOff>
      <xdr:row>1</xdr:row>
      <xdr:rowOff>106680</xdr:rowOff>
    </xdr:from>
    <xdr:to>
      <xdr:col>3</xdr:col>
      <xdr:colOff>38099</xdr:colOff>
      <xdr:row>5</xdr:row>
      <xdr:rowOff>167640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E018600E-4D0B-4DFD-8FA7-34BF9C2F3479}"/>
            </a:ext>
          </a:extLst>
        </xdr:cNvPr>
        <xdr:cNvSpPr/>
      </xdr:nvSpPr>
      <xdr:spPr>
        <a:xfrm>
          <a:off x="3794760" y="510540"/>
          <a:ext cx="45719" cy="792480"/>
        </a:xfrm>
        <a:prstGeom prst="rect">
          <a:avLst/>
        </a:prstGeom>
        <a:solidFill>
          <a:srgbClr val="00B050"/>
        </a:solidFill>
        <a:ln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167640</xdr:colOff>
      <xdr:row>1</xdr:row>
      <xdr:rowOff>121920</xdr:rowOff>
    </xdr:from>
    <xdr:to>
      <xdr:col>2</xdr:col>
      <xdr:colOff>213359</xdr:colOff>
      <xdr:row>6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F9EDFDA-F767-4365-985C-53486407B8CD}"/>
            </a:ext>
          </a:extLst>
        </xdr:cNvPr>
        <xdr:cNvSpPr/>
      </xdr:nvSpPr>
      <xdr:spPr>
        <a:xfrm>
          <a:off x="2004060" y="525780"/>
          <a:ext cx="45719" cy="792480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1644015</xdr:colOff>
      <xdr:row>1</xdr:row>
      <xdr:rowOff>121920</xdr:rowOff>
    </xdr:from>
    <xdr:to>
      <xdr:col>4</xdr:col>
      <xdr:colOff>38100</xdr:colOff>
      <xdr:row>6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C8A3E7A-609A-4E57-BCE7-61BFC9599767}"/>
            </a:ext>
          </a:extLst>
        </xdr:cNvPr>
        <xdr:cNvSpPr/>
      </xdr:nvSpPr>
      <xdr:spPr>
        <a:xfrm>
          <a:off x="5225415" y="521970"/>
          <a:ext cx="51435" cy="782955"/>
        </a:xfrm>
        <a:prstGeom prst="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22860</xdr:colOff>
      <xdr:row>2</xdr:row>
      <xdr:rowOff>0</xdr:rowOff>
    </xdr:from>
    <xdr:to>
      <xdr:col>5</xdr:col>
      <xdr:colOff>68579</xdr:colOff>
      <xdr:row>6</xdr:row>
      <xdr:rowOff>15240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EEE72B3A-4706-4344-B126-E586E13C0BA7}"/>
            </a:ext>
          </a:extLst>
        </xdr:cNvPr>
        <xdr:cNvSpPr/>
      </xdr:nvSpPr>
      <xdr:spPr>
        <a:xfrm>
          <a:off x="7414260" y="541020"/>
          <a:ext cx="45719" cy="792480"/>
        </a:xfrm>
        <a:prstGeom prst="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1192530</xdr:colOff>
      <xdr:row>10</xdr:row>
      <xdr:rowOff>154305</xdr:rowOff>
    </xdr:from>
    <xdr:to>
      <xdr:col>5</xdr:col>
      <xdr:colOff>1512570</xdr:colOff>
      <xdr:row>11</xdr:row>
      <xdr:rowOff>78105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254D547F-A557-9E26-27F1-EFE83E54F370}"/>
            </a:ext>
          </a:extLst>
        </xdr:cNvPr>
        <xdr:cNvSpPr/>
      </xdr:nvSpPr>
      <xdr:spPr>
        <a:xfrm>
          <a:off x="8888730" y="2183130"/>
          <a:ext cx="320040" cy="104775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22860</xdr:colOff>
      <xdr:row>2</xdr:row>
      <xdr:rowOff>0</xdr:rowOff>
    </xdr:from>
    <xdr:to>
      <xdr:col>7</xdr:col>
      <xdr:colOff>68579</xdr:colOff>
      <xdr:row>6</xdr:row>
      <xdr:rowOff>15240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75C678BB-A83A-4A73-B55E-26E1D253A865}"/>
            </a:ext>
          </a:extLst>
        </xdr:cNvPr>
        <xdr:cNvSpPr/>
      </xdr:nvSpPr>
      <xdr:spPr>
        <a:xfrm>
          <a:off x="9300210" y="533400"/>
          <a:ext cx="45719" cy="786765"/>
        </a:xfrm>
        <a:prstGeom prst="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22860</xdr:colOff>
      <xdr:row>2</xdr:row>
      <xdr:rowOff>0</xdr:rowOff>
    </xdr:from>
    <xdr:to>
      <xdr:col>7</xdr:col>
      <xdr:colOff>68579</xdr:colOff>
      <xdr:row>6</xdr:row>
      <xdr:rowOff>15240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C614C56-EB50-493D-81E3-CA5516C47121}"/>
            </a:ext>
          </a:extLst>
        </xdr:cNvPr>
        <xdr:cNvSpPr/>
      </xdr:nvSpPr>
      <xdr:spPr>
        <a:xfrm>
          <a:off x="9300210" y="533400"/>
          <a:ext cx="45719" cy="786765"/>
        </a:xfrm>
        <a:prstGeom prst="rect">
          <a:avLst/>
        </a:prstGeom>
        <a:solidFill>
          <a:schemeClr val="tx2"/>
        </a:soli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0.89622</cdr:x>
      <cdr:y>0.13263</cdr:y>
    </cdr:from>
    <cdr:to>
      <cdr:x>0.99267</cdr:x>
      <cdr:y>0.22153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4966E6C8-817F-8A44-03C2-070DD1AC068B}"/>
            </a:ext>
          </a:extLst>
        </cdr:cNvPr>
        <cdr:cNvSpPr/>
      </cdr:nvSpPr>
      <cdr:spPr>
        <a:xfrm xmlns:a="http://schemas.openxmlformats.org/drawingml/2006/main">
          <a:off x="4660910" y="460501"/>
          <a:ext cx="501640" cy="3087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fr-FR" sz="900" b="1" i="1">
              <a:solidFill>
                <a:sysClr val="windowText" lastClr="000000"/>
              </a:solidFill>
            </a:rPr>
            <a:t>Dans</a:t>
          </a:r>
          <a:r>
            <a:rPr lang="fr-FR" sz="800" b="1" i="1">
              <a:solidFill>
                <a:sysClr val="windowText" lastClr="000000"/>
              </a:solidFill>
            </a:rPr>
            <a:t> les délais et le budget 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0.19733</cdr:x>
      <cdr:y>0.16515</cdr:y>
    </cdr:from>
    <cdr:to>
      <cdr:x>0.3527</cdr:x>
      <cdr:y>0.24263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254D547F-A557-9E26-27F1-EFE83E54F370}"/>
            </a:ext>
          </a:extLst>
        </cdr:cNvPr>
        <cdr:cNvSpPr/>
      </cdr:nvSpPr>
      <cdr:spPr>
        <a:xfrm xmlns:a="http://schemas.openxmlformats.org/drawingml/2006/main">
          <a:off x="1087120" y="576580"/>
          <a:ext cx="855980" cy="27051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fr-FR" sz="1100">
              <a:solidFill>
                <a:sysClr val="windowText" lastClr="000000"/>
              </a:solidFill>
            </a:rPr>
            <a:t>Budget</a:t>
          </a:r>
        </a:p>
      </cdr:txBody>
    </cdr:sp>
  </cdr:relSizeAnchor>
  <cdr:relSizeAnchor xmlns:cdr="http://schemas.openxmlformats.org/drawingml/2006/chartDrawing">
    <cdr:from>
      <cdr:x>0.32457</cdr:x>
      <cdr:y>0.18916</cdr:y>
    </cdr:from>
    <cdr:to>
      <cdr:x>0.38266</cdr:x>
      <cdr:y>0.21972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254D547F-A557-9E26-27F1-EFE83E54F370}"/>
            </a:ext>
          </a:extLst>
        </cdr:cNvPr>
        <cdr:cNvSpPr/>
      </cdr:nvSpPr>
      <cdr:spPr>
        <a:xfrm xmlns:a="http://schemas.openxmlformats.org/drawingml/2006/main">
          <a:off x="1788160" y="660400"/>
          <a:ext cx="320040" cy="106680"/>
        </a:xfrm>
        <a:prstGeom xmlns:a="http://schemas.openxmlformats.org/drawingml/2006/main" prst="rect">
          <a:avLst/>
        </a:prstGeom>
        <a:solidFill xmlns:a="http://schemas.openxmlformats.org/drawingml/2006/main">
          <a:schemeClr val="tx2"/>
        </a:solidFill>
        <a:ln xmlns:a="http://schemas.openxmlformats.org/drawingml/2006/main">
          <a:solidFill>
            <a:schemeClr val="tx2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fr-FR" sz="1100"/>
        </a:p>
      </cdr:txBody>
    </cdr:sp>
  </cdr:relSizeAnchor>
  <cdr:relSizeAnchor xmlns:cdr="http://schemas.openxmlformats.org/drawingml/2006/chartDrawing">
    <cdr:from>
      <cdr:x>0.63024</cdr:x>
      <cdr:y>0.18916</cdr:y>
    </cdr:from>
    <cdr:to>
      <cdr:x>0.68834</cdr:x>
      <cdr:y>0.21972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254D547F-A557-9E26-27F1-EFE83E54F370}"/>
            </a:ext>
          </a:extLst>
        </cdr:cNvPr>
        <cdr:cNvSpPr/>
      </cdr:nvSpPr>
      <cdr:spPr>
        <a:xfrm xmlns:a="http://schemas.openxmlformats.org/drawingml/2006/main">
          <a:off x="3472180" y="660400"/>
          <a:ext cx="320040" cy="106680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/>
        </a:solidFill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fr-FR" sz="1100"/>
        </a:p>
      </cdr:txBody>
    </cdr:sp>
  </cdr:relSizeAnchor>
  <cdr:relSizeAnchor xmlns:cdr="http://schemas.openxmlformats.org/drawingml/2006/chartDrawing">
    <cdr:from>
      <cdr:x>0.39096</cdr:x>
      <cdr:y>0.16515</cdr:y>
    </cdr:from>
    <cdr:to>
      <cdr:x>0.61964</cdr:x>
      <cdr:y>0.24263</cdr:y>
    </cdr:to>
    <cdr:sp macro="" textlink="">
      <cdr:nvSpPr>
        <cdr:cNvPr id="5" name="Rectangle 4">
          <a:extLst xmlns:a="http://schemas.openxmlformats.org/drawingml/2006/main">
            <a:ext uri="{FF2B5EF4-FFF2-40B4-BE49-F238E27FC236}">
              <a16:creationId xmlns:a16="http://schemas.microsoft.com/office/drawing/2014/main" id="{00AAA9FF-220B-3412-19D2-BA5488BF1AD6}"/>
            </a:ext>
          </a:extLst>
        </cdr:cNvPr>
        <cdr:cNvSpPr/>
      </cdr:nvSpPr>
      <cdr:spPr>
        <a:xfrm xmlns:a="http://schemas.openxmlformats.org/drawingml/2006/main">
          <a:off x="2153920" y="576580"/>
          <a:ext cx="1259840" cy="27051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fr-FR" sz="1100">
              <a:solidFill>
                <a:sysClr val="windowText" lastClr="000000"/>
              </a:solidFill>
            </a:rPr>
            <a:t>Coût</a:t>
          </a:r>
          <a:r>
            <a:rPr lang="fr-FR" sz="1100" baseline="0">
              <a:solidFill>
                <a:sysClr val="windowText" lastClr="000000"/>
              </a:solidFill>
            </a:rPr>
            <a:t> final estimé</a:t>
          </a:r>
          <a:endParaRPr lang="fr-FR" sz="1100">
            <a:solidFill>
              <a:sysClr val="windowText" lastClr="000000"/>
            </a:solidFill>
          </a:endParaRPr>
        </a:p>
      </cdr:txBody>
    </cdr:sp>
  </cdr:relSizeAnchor>
  <cdr:relSizeAnchor xmlns:cdr="http://schemas.openxmlformats.org/drawingml/2006/chartDrawing">
    <cdr:from>
      <cdr:x>0.68695</cdr:x>
      <cdr:y>0.16733</cdr:y>
    </cdr:from>
    <cdr:to>
      <cdr:x>0.94606</cdr:x>
      <cdr:y>0.24482</cdr:y>
    </cdr:to>
    <cdr:sp macro="" textlink="">
      <cdr:nvSpPr>
        <cdr:cNvPr id="6" name="Rectangle 5">
          <a:extLst xmlns:a="http://schemas.openxmlformats.org/drawingml/2006/main">
            <a:ext uri="{FF2B5EF4-FFF2-40B4-BE49-F238E27FC236}">
              <a16:creationId xmlns:a16="http://schemas.microsoft.com/office/drawing/2014/main" id="{00AAA9FF-220B-3412-19D2-BA5488BF1AD6}"/>
            </a:ext>
          </a:extLst>
        </cdr:cNvPr>
        <cdr:cNvSpPr/>
      </cdr:nvSpPr>
      <cdr:spPr>
        <a:xfrm xmlns:a="http://schemas.openxmlformats.org/drawingml/2006/main">
          <a:off x="3784600" y="584200"/>
          <a:ext cx="1427480" cy="27051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>
            <a:lumMod val="95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r>
            <a:rPr lang="fr-FR" sz="1100">
              <a:solidFill>
                <a:sysClr val="windowText" lastClr="000000"/>
              </a:solidFill>
            </a:rPr>
            <a:t>Dépassement &gt;20 M</a:t>
          </a: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Projets" displayName="T_Projets" ref="A1:I11">
  <autoFilter ref="A1:I11" xr:uid="{00000000-0009-0000-0100-000001000000}"/>
  <tableColumns count="9">
    <tableColumn id="1" xr3:uid="{00000000-0010-0000-0000-000001000000}" name="Code"/>
    <tableColumn id="2" xr3:uid="{00000000-0010-0000-0000-000002000000}" name="Produit"/>
    <tableColumn id="3" xr3:uid="{00000000-0010-0000-0000-000003000000}" name="Catégorie"/>
    <tableColumn id="4" xr3:uid="{00000000-0010-0000-0000-000004000000}" name="Direction porteuse"/>
    <tableColumn id="5" xr3:uid="{00000000-0010-0000-0000-000005000000}" name="Product Owner"/>
    <tableColumn id="6" xr3:uid="{00000000-0010-0000-0000-000006000000}" name="Date début"/>
    <tableColumn id="7" xr3:uid="{00000000-0010-0000-0000-000007000000}" name="Date fin prévue"/>
    <tableColumn id="8" xr3:uid="{00000000-0010-0000-0000-000008000000}" name="Budget (M FCFA)"/>
    <tableColumn id="9" xr3:uid="{00000000-0010-0000-0000-000009000000}" name="Priorit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Jalons" displayName="T_Jalons" ref="A1:G51">
  <autoFilter ref="A1:G51" xr:uid="{00000000-0009-0000-0100-000002000000}"/>
  <tableColumns count="7">
    <tableColumn id="1" xr3:uid="{00000000-0010-0000-0100-000001000000}" name="Code produit"/>
    <tableColumn id="2" xr3:uid="{00000000-0010-0000-0100-000002000000}" name="ID jalon"/>
    <tableColumn id="3" xr3:uid="{00000000-0010-0000-0100-000003000000}" name="Jalon"/>
    <tableColumn id="4" xr3:uid="{00000000-0010-0000-0100-000004000000}" name="Date prévue"/>
    <tableColumn id="5" xr3:uid="{00000000-0010-0000-0100-000005000000}" name="Date réelle / estimée"/>
    <tableColumn id="6" xr3:uid="{00000000-0010-0000-0100-000006000000}" name="Statut"/>
    <tableColumn id="7" xr3:uid="{00000000-0010-0000-0100-000007000000}" name="Jalon critiq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uivi" displayName="T_Suivi" ref="A1:E75">
  <autoFilter ref="A1:E75" xr:uid="{00000000-0009-0000-0100-000003000000}"/>
  <tableColumns count="5">
    <tableColumn id="1" xr3:uid="{00000000-0010-0000-0200-000001000000}" name="Code produit"/>
    <tableColumn id="2" xr3:uid="{00000000-0010-0000-0200-000002000000}" name="Fin de mois"/>
    <tableColumn id="3" xr3:uid="{00000000-0010-0000-0200-000003000000}" name="Avancement prévu (cumulé)"/>
    <tableColumn id="4" xr3:uid="{00000000-0010-0000-0200-000004000000}" name="Avancement réel (cumulé)"/>
    <tableColumn id="5" xr3:uid="{00000000-0010-0000-0200-000005000000}" name="Dépenses cumulées (M FCFA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Risques" displayName="T_Risques" ref="A1:I19">
  <autoFilter ref="A1:I19" xr:uid="{00000000-0009-0000-0100-000004000000}"/>
  <tableColumns count="9">
    <tableColumn id="1" xr3:uid="{00000000-0010-0000-0300-000001000000}" name="Code produit"/>
    <tableColumn id="2" xr3:uid="{00000000-0010-0000-0300-000002000000}" name="ID risque"/>
    <tableColumn id="3" xr3:uid="{00000000-0010-0000-0300-000003000000}" name="Description"/>
    <tableColumn id="4" xr3:uid="{00000000-0010-0000-0300-000004000000}" name="Probabilité (1-3)"/>
    <tableColumn id="5" xr3:uid="{00000000-0010-0000-0300-000005000000}" name="Impact (1-3)"/>
    <tableColumn id="6" xr3:uid="{00000000-0010-0000-0300-000006000000}" name="Responsable"/>
    <tableColumn id="7" xr3:uid="{00000000-0010-0000-0300-000007000000}" name="Action corrective"/>
    <tableColumn id="8" xr3:uid="{00000000-0010-0000-0300-000008000000}" name="Statut"/>
    <tableColumn id="9" xr3:uid="{00000000-0010-0000-0300-000009000000}" name="Échéance 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KPI" displayName="T_KPI" ref="A1:F9">
  <autoFilter ref="A1:F9" xr:uid="{00000000-0009-0000-0100-000005000000}"/>
  <tableColumns count="6">
    <tableColumn id="1" xr3:uid="{00000000-0010-0000-0400-000001000000}" name="Code produit"/>
    <tableColumn id="2" xr3:uid="{00000000-0010-0000-0400-000002000000}" name="Produit"/>
    <tableColumn id="3" xr3:uid="{00000000-0010-0000-0400-000003000000}" name="Indicateur"/>
    <tableColumn id="4" xr3:uid="{00000000-0010-0000-0400-000004000000}" name="Mois"/>
    <tableColumn id="5" xr3:uid="{00000000-0010-0000-0400-000005000000}" name="Cible"/>
    <tableColumn id="6" xr3:uid="{00000000-0010-0000-0400-000006000000}" name="Ré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tabSelected="1" workbookViewId="0">
      <selection activeCell="A24" sqref="A24"/>
    </sheetView>
  </sheetViews>
  <sheetFormatPr baseColWidth="10" defaultColWidth="8.88671875" defaultRowHeight="14.4" x14ac:dyDescent="0.3"/>
  <cols>
    <col min="1" max="1" width="130" customWidth="1"/>
  </cols>
  <sheetData>
    <row r="1" spans="1:1" ht="17.399999999999999" x14ac:dyDescent="0.3">
      <c r="A1" s="1" t="s">
        <v>242</v>
      </c>
    </row>
    <row r="2" spans="1:1" x14ac:dyDescent="0.3">
      <c r="A2" s="2" t="s">
        <v>240</v>
      </c>
    </row>
    <row r="3" spans="1:1" x14ac:dyDescent="0.3">
      <c r="A3" s="3"/>
    </row>
    <row r="4" spans="1:1" x14ac:dyDescent="0.3">
      <c r="A4" s="4" t="s">
        <v>0</v>
      </c>
    </row>
    <row r="5" spans="1:1" ht="27.6" x14ac:dyDescent="0.3">
      <c r="A5" s="3" t="s">
        <v>1</v>
      </c>
    </row>
    <row r="6" spans="1:1" x14ac:dyDescent="0.3">
      <c r="A6" s="3" t="s">
        <v>238</v>
      </c>
    </row>
    <row r="7" spans="1:1" x14ac:dyDescent="0.3">
      <c r="A7" s="3"/>
    </row>
    <row r="8" spans="1:1" x14ac:dyDescent="0.3">
      <c r="A8" s="4" t="s">
        <v>239</v>
      </c>
    </row>
    <row r="9" spans="1:1" x14ac:dyDescent="0.3">
      <c r="A9" s="3" t="s">
        <v>2</v>
      </c>
    </row>
    <row r="10" spans="1:1" x14ac:dyDescent="0.3">
      <c r="A10" s="3" t="s">
        <v>3</v>
      </c>
    </row>
    <row r="11" spans="1:1" x14ac:dyDescent="0.3">
      <c r="A11" s="3" t="s">
        <v>4</v>
      </c>
    </row>
    <row r="12" spans="1:1" x14ac:dyDescent="0.3">
      <c r="A12" s="3" t="s">
        <v>5</v>
      </c>
    </row>
    <row r="13" spans="1:1" x14ac:dyDescent="0.3">
      <c r="A13" s="3" t="s">
        <v>6</v>
      </c>
    </row>
    <row r="14" spans="1:1" x14ac:dyDescent="0.3">
      <c r="A14" s="3"/>
    </row>
    <row r="15" spans="1:1" x14ac:dyDescent="0.3">
      <c r="A15" s="4" t="s">
        <v>241</v>
      </c>
    </row>
    <row r="16" spans="1:1" x14ac:dyDescent="0.3">
      <c r="A16" s="3" t="s">
        <v>7</v>
      </c>
    </row>
    <row r="17" spans="1:1" x14ac:dyDescent="0.3">
      <c r="A17" s="3" t="s">
        <v>8</v>
      </c>
    </row>
    <row r="18" spans="1:1" ht="27.6" x14ac:dyDescent="0.3">
      <c r="A18" s="3" t="s">
        <v>9</v>
      </c>
    </row>
    <row r="19" spans="1:1" x14ac:dyDescent="0.3">
      <c r="A19" s="3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pane ySplit="1" topLeftCell="A2" activePane="bottomLeft" state="frozen"/>
      <selection pane="bottomLeft" activeCell="E28" sqref="E28"/>
    </sheetView>
  </sheetViews>
  <sheetFormatPr baseColWidth="10" defaultColWidth="8.88671875" defaultRowHeight="14.4" x14ac:dyDescent="0.3"/>
  <cols>
    <col min="1" max="1" width="8" customWidth="1"/>
    <col min="2" max="2" width="32" customWidth="1"/>
    <col min="3" max="3" width="24" customWidth="1"/>
    <col min="4" max="4" width="26" customWidth="1"/>
    <col min="5" max="5" width="16" customWidth="1"/>
    <col min="6" max="6" width="13" customWidth="1"/>
    <col min="7" max="8" width="15" customWidth="1"/>
    <col min="9" max="9" width="10" customWidth="1"/>
  </cols>
  <sheetData>
    <row r="1" spans="1:9" ht="31.95" customHeight="1" x14ac:dyDescent="0.3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</row>
    <row r="2" spans="1:9" x14ac:dyDescent="0.3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  <c r="F2" s="7">
        <v>45996</v>
      </c>
      <c r="G2" s="7">
        <v>46217</v>
      </c>
      <c r="H2" s="8">
        <v>420</v>
      </c>
      <c r="I2" s="6" t="s">
        <v>25</v>
      </c>
    </row>
    <row r="3" spans="1:9" x14ac:dyDescent="0.3">
      <c r="A3" s="6" t="s">
        <v>26</v>
      </c>
      <c r="B3" s="6" t="s">
        <v>27</v>
      </c>
      <c r="C3" s="6" t="s">
        <v>28</v>
      </c>
      <c r="D3" s="6" t="s">
        <v>29</v>
      </c>
      <c r="E3" s="6" t="s">
        <v>30</v>
      </c>
      <c r="F3" s="7">
        <v>46024</v>
      </c>
      <c r="G3" s="7">
        <v>46325</v>
      </c>
      <c r="H3" s="8">
        <v>260</v>
      </c>
      <c r="I3" s="6" t="s">
        <v>31</v>
      </c>
    </row>
    <row r="4" spans="1:9" x14ac:dyDescent="0.3">
      <c r="A4" s="6" t="s">
        <v>32</v>
      </c>
      <c r="B4" s="6" t="s">
        <v>33</v>
      </c>
      <c r="C4" s="6" t="s">
        <v>34</v>
      </c>
      <c r="D4" s="6" t="s">
        <v>35</v>
      </c>
      <c r="E4" s="6" t="s">
        <v>36</v>
      </c>
      <c r="F4" s="7">
        <v>46003</v>
      </c>
      <c r="G4" s="7">
        <v>46234</v>
      </c>
      <c r="H4" s="8">
        <v>180</v>
      </c>
      <c r="I4" s="6" t="s">
        <v>25</v>
      </c>
    </row>
    <row r="5" spans="1:9" x14ac:dyDescent="0.3">
      <c r="A5" s="6" t="s">
        <v>37</v>
      </c>
      <c r="B5" s="6" t="s">
        <v>38</v>
      </c>
      <c r="C5" s="6" t="s">
        <v>34</v>
      </c>
      <c r="D5" s="6" t="s">
        <v>23</v>
      </c>
      <c r="E5" s="6" t="s">
        <v>39</v>
      </c>
      <c r="F5" s="7">
        <v>46055</v>
      </c>
      <c r="G5" s="7">
        <v>46356</v>
      </c>
      <c r="H5" s="8">
        <v>350</v>
      </c>
      <c r="I5" s="6" t="s">
        <v>25</v>
      </c>
    </row>
    <row r="6" spans="1:9" x14ac:dyDescent="0.3">
      <c r="A6" s="6" t="s">
        <v>40</v>
      </c>
      <c r="B6" s="6" t="s">
        <v>41</v>
      </c>
      <c r="C6" s="6" t="s">
        <v>28</v>
      </c>
      <c r="D6" s="6" t="s">
        <v>29</v>
      </c>
      <c r="E6" s="6" t="s">
        <v>42</v>
      </c>
      <c r="F6" s="7">
        <v>46087</v>
      </c>
      <c r="G6" s="7">
        <v>46295</v>
      </c>
      <c r="H6" s="8">
        <v>120</v>
      </c>
      <c r="I6" s="6" t="s">
        <v>31</v>
      </c>
    </row>
    <row r="7" spans="1:9" x14ac:dyDescent="0.3">
      <c r="A7" s="6" t="s">
        <v>43</v>
      </c>
      <c r="B7" s="25" t="s">
        <v>44</v>
      </c>
      <c r="C7" s="6" t="s">
        <v>28</v>
      </c>
      <c r="D7" s="6" t="s">
        <v>45</v>
      </c>
      <c r="E7" s="6" t="s">
        <v>46</v>
      </c>
      <c r="F7" s="7">
        <v>45996</v>
      </c>
      <c r="G7" s="7">
        <v>46344</v>
      </c>
      <c r="H7" s="8">
        <v>510</v>
      </c>
      <c r="I7" s="6" t="s">
        <v>25</v>
      </c>
    </row>
    <row r="8" spans="1:9" x14ac:dyDescent="0.3">
      <c r="A8" s="6" t="s">
        <v>47</v>
      </c>
      <c r="B8" s="6" t="s">
        <v>48</v>
      </c>
      <c r="C8" s="6" t="s">
        <v>49</v>
      </c>
      <c r="D8" s="6" t="s">
        <v>45</v>
      </c>
      <c r="E8" s="6" t="s">
        <v>50</v>
      </c>
      <c r="F8" s="7">
        <v>46038</v>
      </c>
      <c r="G8" s="7">
        <v>46446</v>
      </c>
      <c r="H8" s="8">
        <v>480</v>
      </c>
      <c r="I8" s="6" t="s">
        <v>31</v>
      </c>
    </row>
    <row r="9" spans="1:9" x14ac:dyDescent="0.3">
      <c r="A9" s="6" t="s">
        <v>51</v>
      </c>
      <c r="B9" s="25" t="s">
        <v>52</v>
      </c>
      <c r="C9" s="6" t="s">
        <v>34</v>
      </c>
      <c r="D9" s="6" t="s">
        <v>53</v>
      </c>
      <c r="E9" s="6" t="s">
        <v>54</v>
      </c>
      <c r="F9" s="7">
        <v>46116</v>
      </c>
      <c r="G9" s="7">
        <v>46413</v>
      </c>
      <c r="H9" s="8">
        <v>300</v>
      </c>
      <c r="I9" s="6" t="s">
        <v>31</v>
      </c>
    </row>
    <row r="10" spans="1:9" x14ac:dyDescent="0.3">
      <c r="A10" s="6" t="s">
        <v>55</v>
      </c>
      <c r="B10" s="6" t="s">
        <v>56</v>
      </c>
      <c r="C10" s="6" t="s">
        <v>22</v>
      </c>
      <c r="D10" s="6" t="s">
        <v>23</v>
      </c>
      <c r="E10" s="6" t="s">
        <v>57</v>
      </c>
      <c r="F10" s="7">
        <v>46003</v>
      </c>
      <c r="G10" s="7">
        <v>46172</v>
      </c>
      <c r="H10" s="8">
        <v>150</v>
      </c>
      <c r="I10" s="6" t="s">
        <v>25</v>
      </c>
    </row>
    <row r="11" spans="1:9" x14ac:dyDescent="0.3">
      <c r="A11" s="6" t="s">
        <v>58</v>
      </c>
      <c r="B11" s="6" t="s">
        <v>59</v>
      </c>
      <c r="C11" s="6" t="s">
        <v>49</v>
      </c>
      <c r="D11" s="6" t="s">
        <v>60</v>
      </c>
      <c r="E11" s="6" t="s">
        <v>61</v>
      </c>
      <c r="F11" s="7">
        <v>46143</v>
      </c>
      <c r="G11" s="7">
        <v>46341</v>
      </c>
      <c r="H11" s="8">
        <v>90</v>
      </c>
      <c r="I11" s="6" t="s">
        <v>62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workbookViewId="0">
      <pane ySplit="1" topLeftCell="A2" activePane="bottomLeft" state="frozen"/>
      <selection pane="bottomLeft" activeCell="D3" sqref="D3"/>
    </sheetView>
  </sheetViews>
  <sheetFormatPr baseColWidth="10" defaultColWidth="8.88671875" defaultRowHeight="14.4" x14ac:dyDescent="0.3"/>
  <cols>
    <col min="1" max="1" width="13" customWidth="1"/>
    <col min="2" max="2" width="11" customWidth="1"/>
    <col min="3" max="3" width="16" customWidth="1"/>
    <col min="4" max="4" width="13" customWidth="1"/>
    <col min="5" max="5" width="19" customWidth="1"/>
    <col min="6" max="6" width="12" customWidth="1"/>
    <col min="7" max="7" width="13" customWidth="1"/>
  </cols>
  <sheetData>
    <row r="1" spans="1:7" ht="31.95" customHeight="1" x14ac:dyDescent="0.3">
      <c r="A1" s="5" t="s">
        <v>63</v>
      </c>
      <c r="B1" s="5" t="s">
        <v>64</v>
      </c>
      <c r="C1" s="5" t="s">
        <v>65</v>
      </c>
      <c r="D1" s="5" t="s">
        <v>66</v>
      </c>
      <c r="E1" s="5" t="s">
        <v>67</v>
      </c>
      <c r="F1" s="5" t="s">
        <v>68</v>
      </c>
      <c r="G1" s="5" t="s">
        <v>69</v>
      </c>
    </row>
    <row r="2" spans="1:7" x14ac:dyDescent="0.3">
      <c r="A2" s="6" t="s">
        <v>20</v>
      </c>
      <c r="B2" s="6" t="s">
        <v>70</v>
      </c>
      <c r="C2" s="6" t="s">
        <v>71</v>
      </c>
      <c r="D2" s="7">
        <v>46014</v>
      </c>
      <c r="E2" s="7">
        <v>46017</v>
      </c>
      <c r="F2" s="6" t="s">
        <v>72</v>
      </c>
      <c r="G2" s="6" t="s">
        <v>73</v>
      </c>
    </row>
    <row r="3" spans="1:7" x14ac:dyDescent="0.3">
      <c r="A3" s="6" t="s">
        <v>20</v>
      </c>
      <c r="B3" s="6" t="s">
        <v>74</v>
      </c>
      <c r="C3" s="6" t="s">
        <v>75</v>
      </c>
      <c r="D3" s="7">
        <v>46054</v>
      </c>
      <c r="E3" s="7">
        <v>46056</v>
      </c>
      <c r="F3" s="6" t="s">
        <v>72</v>
      </c>
      <c r="G3" s="6" t="s">
        <v>73</v>
      </c>
    </row>
    <row r="4" spans="1:7" x14ac:dyDescent="0.3">
      <c r="A4" s="6" t="s">
        <v>20</v>
      </c>
      <c r="B4" s="6" t="s">
        <v>76</v>
      </c>
      <c r="C4" s="6" t="s">
        <v>77</v>
      </c>
      <c r="D4" s="7">
        <v>46141</v>
      </c>
      <c r="E4" s="7">
        <v>46149</v>
      </c>
      <c r="F4" s="6" t="s">
        <v>72</v>
      </c>
      <c r="G4" s="6" t="s">
        <v>78</v>
      </c>
    </row>
    <row r="5" spans="1:7" x14ac:dyDescent="0.3">
      <c r="A5" s="6" t="s">
        <v>20</v>
      </c>
      <c r="B5" s="6" t="s">
        <v>79</v>
      </c>
      <c r="C5" s="6" t="s">
        <v>80</v>
      </c>
      <c r="D5" s="7">
        <v>46185</v>
      </c>
      <c r="E5" s="7">
        <v>46188</v>
      </c>
      <c r="F5" s="6" t="s">
        <v>72</v>
      </c>
      <c r="G5" s="6" t="s">
        <v>73</v>
      </c>
    </row>
    <row r="6" spans="1:7" x14ac:dyDescent="0.3">
      <c r="A6" s="6" t="s">
        <v>20</v>
      </c>
      <c r="B6" s="6" t="s">
        <v>81</v>
      </c>
      <c r="C6" s="6" t="s">
        <v>82</v>
      </c>
      <c r="D6" s="7">
        <v>46217</v>
      </c>
      <c r="E6" s="7">
        <v>46221</v>
      </c>
      <c r="F6" s="6" t="s">
        <v>72</v>
      </c>
      <c r="G6" s="6" t="s">
        <v>78</v>
      </c>
    </row>
    <row r="7" spans="1:7" x14ac:dyDescent="0.3">
      <c r="A7" s="6" t="s">
        <v>26</v>
      </c>
      <c r="B7" s="6" t="s">
        <v>83</v>
      </c>
      <c r="C7" s="6" t="s">
        <v>71</v>
      </c>
      <c r="D7" s="7">
        <v>46048</v>
      </c>
      <c r="E7" s="7">
        <v>46045</v>
      </c>
      <c r="F7" s="6" t="s">
        <v>72</v>
      </c>
      <c r="G7" s="6" t="s">
        <v>73</v>
      </c>
    </row>
    <row r="8" spans="1:7" x14ac:dyDescent="0.3">
      <c r="A8" s="6" t="s">
        <v>26</v>
      </c>
      <c r="B8" s="6" t="s">
        <v>84</v>
      </c>
      <c r="C8" s="6" t="s">
        <v>75</v>
      </c>
      <c r="D8" s="7">
        <v>46099</v>
      </c>
      <c r="E8" s="7">
        <v>46101</v>
      </c>
      <c r="F8" s="6" t="s">
        <v>72</v>
      </c>
      <c r="G8" s="6" t="s">
        <v>73</v>
      </c>
    </row>
    <row r="9" spans="1:7" x14ac:dyDescent="0.3">
      <c r="A9" s="6" t="s">
        <v>26</v>
      </c>
      <c r="B9" s="6" t="s">
        <v>85</v>
      </c>
      <c r="C9" s="6" t="s">
        <v>77</v>
      </c>
      <c r="D9" s="7">
        <v>46220</v>
      </c>
      <c r="E9" s="7">
        <v>46217</v>
      </c>
      <c r="F9" s="6" t="s">
        <v>72</v>
      </c>
      <c r="G9" s="6" t="s">
        <v>78</v>
      </c>
    </row>
    <row r="10" spans="1:7" x14ac:dyDescent="0.3">
      <c r="A10" s="6" t="s">
        <v>26</v>
      </c>
      <c r="B10" s="6" t="s">
        <v>86</v>
      </c>
      <c r="C10" s="6" t="s">
        <v>80</v>
      </c>
      <c r="D10" s="7">
        <v>46281</v>
      </c>
      <c r="E10" s="7">
        <v>46281</v>
      </c>
      <c r="F10" s="6" t="s">
        <v>87</v>
      </c>
      <c r="G10" s="6" t="s">
        <v>73</v>
      </c>
    </row>
    <row r="11" spans="1:7" x14ac:dyDescent="0.3">
      <c r="A11" s="6" t="s">
        <v>26</v>
      </c>
      <c r="B11" s="6" t="s">
        <v>88</v>
      </c>
      <c r="C11" s="6" t="s">
        <v>82</v>
      </c>
      <c r="D11" s="7">
        <v>46325</v>
      </c>
      <c r="E11" s="7">
        <v>46322</v>
      </c>
      <c r="F11" s="6" t="s">
        <v>89</v>
      </c>
      <c r="G11" s="6" t="s">
        <v>78</v>
      </c>
    </row>
    <row r="12" spans="1:7" x14ac:dyDescent="0.3">
      <c r="A12" s="6" t="s">
        <v>32</v>
      </c>
      <c r="B12" s="6" t="s">
        <v>90</v>
      </c>
      <c r="C12" s="6" t="s">
        <v>71</v>
      </c>
      <c r="D12" s="7">
        <v>46021</v>
      </c>
      <c r="E12" s="7">
        <v>46025</v>
      </c>
      <c r="F12" s="6" t="s">
        <v>72</v>
      </c>
      <c r="G12" s="6" t="s">
        <v>73</v>
      </c>
    </row>
    <row r="13" spans="1:7" x14ac:dyDescent="0.3">
      <c r="A13" s="6" t="s">
        <v>32</v>
      </c>
      <c r="B13" s="6" t="s">
        <v>91</v>
      </c>
      <c r="C13" s="6" t="s">
        <v>75</v>
      </c>
      <c r="D13" s="7">
        <v>46064</v>
      </c>
      <c r="E13" s="7">
        <v>46088</v>
      </c>
      <c r="F13" s="6" t="s">
        <v>72</v>
      </c>
      <c r="G13" s="6" t="s">
        <v>73</v>
      </c>
    </row>
    <row r="14" spans="1:7" x14ac:dyDescent="0.3">
      <c r="A14" s="6" t="s">
        <v>32</v>
      </c>
      <c r="B14" s="6" t="s">
        <v>92</v>
      </c>
      <c r="C14" s="6" t="s">
        <v>77</v>
      </c>
      <c r="D14" s="7">
        <v>46153</v>
      </c>
      <c r="E14" s="7">
        <v>46216</v>
      </c>
      <c r="F14" s="6" t="s">
        <v>72</v>
      </c>
      <c r="G14" s="6" t="s">
        <v>78</v>
      </c>
    </row>
    <row r="15" spans="1:7" x14ac:dyDescent="0.3">
      <c r="A15" s="6" t="s">
        <v>32</v>
      </c>
      <c r="B15" s="6" t="s">
        <v>93</v>
      </c>
      <c r="C15" s="6" t="s">
        <v>80</v>
      </c>
      <c r="D15" s="7">
        <v>46200</v>
      </c>
      <c r="E15" s="7">
        <v>46273</v>
      </c>
      <c r="F15" s="6" t="s">
        <v>94</v>
      </c>
      <c r="G15" s="6" t="s">
        <v>73</v>
      </c>
    </row>
    <row r="16" spans="1:7" x14ac:dyDescent="0.3">
      <c r="A16" s="6" t="s">
        <v>32</v>
      </c>
      <c r="B16" s="6" t="s">
        <v>95</v>
      </c>
      <c r="C16" s="6" t="s">
        <v>82</v>
      </c>
      <c r="D16" s="7">
        <v>46234</v>
      </c>
      <c r="E16" s="7">
        <v>46324</v>
      </c>
      <c r="F16" s="6" t="s">
        <v>94</v>
      </c>
      <c r="G16" s="6" t="s">
        <v>78</v>
      </c>
    </row>
    <row r="17" spans="1:7" x14ac:dyDescent="0.3">
      <c r="A17" s="6" t="s">
        <v>37</v>
      </c>
      <c r="B17" s="6" t="s">
        <v>96</v>
      </c>
      <c r="C17" s="6" t="s">
        <v>71</v>
      </c>
      <c r="D17" s="7">
        <v>46079</v>
      </c>
      <c r="E17" s="7">
        <v>46081</v>
      </c>
      <c r="F17" s="6" t="s">
        <v>72</v>
      </c>
      <c r="G17" s="6" t="s">
        <v>73</v>
      </c>
    </row>
    <row r="18" spans="1:7" x14ac:dyDescent="0.3">
      <c r="A18" s="6" t="s">
        <v>37</v>
      </c>
      <c r="B18" s="6" t="s">
        <v>97</v>
      </c>
      <c r="C18" s="6" t="s">
        <v>75</v>
      </c>
      <c r="D18" s="7">
        <v>46129</v>
      </c>
      <c r="E18" s="7">
        <v>46152</v>
      </c>
      <c r="F18" s="6" t="s">
        <v>72</v>
      </c>
      <c r="G18" s="6" t="s">
        <v>73</v>
      </c>
    </row>
    <row r="19" spans="1:7" x14ac:dyDescent="0.3">
      <c r="A19" s="6" t="s">
        <v>37</v>
      </c>
      <c r="B19" s="6" t="s">
        <v>98</v>
      </c>
      <c r="C19" s="6" t="s">
        <v>77</v>
      </c>
      <c r="D19" s="7">
        <v>46250</v>
      </c>
      <c r="E19" s="7">
        <v>46296</v>
      </c>
      <c r="F19" s="6" t="s">
        <v>94</v>
      </c>
      <c r="G19" s="6" t="s">
        <v>78</v>
      </c>
    </row>
    <row r="20" spans="1:7" x14ac:dyDescent="0.3">
      <c r="A20" s="6" t="s">
        <v>37</v>
      </c>
      <c r="B20" s="6" t="s">
        <v>99</v>
      </c>
      <c r="C20" s="6" t="s">
        <v>80</v>
      </c>
      <c r="D20" s="7">
        <v>46310</v>
      </c>
      <c r="E20" s="7">
        <v>46372</v>
      </c>
      <c r="F20" s="6" t="s">
        <v>87</v>
      </c>
      <c r="G20" s="6" t="s">
        <v>73</v>
      </c>
    </row>
    <row r="21" spans="1:7" x14ac:dyDescent="0.3">
      <c r="A21" s="6" t="s">
        <v>37</v>
      </c>
      <c r="B21" s="6" t="s">
        <v>100</v>
      </c>
      <c r="C21" s="6" t="s">
        <v>82</v>
      </c>
      <c r="D21" s="7">
        <v>46356</v>
      </c>
      <c r="E21" s="7">
        <v>46435</v>
      </c>
      <c r="F21" s="6" t="s">
        <v>89</v>
      </c>
      <c r="G21" s="6" t="s">
        <v>78</v>
      </c>
    </row>
    <row r="22" spans="1:7" x14ac:dyDescent="0.3">
      <c r="A22" s="6" t="s">
        <v>40</v>
      </c>
      <c r="B22" s="6" t="s">
        <v>101</v>
      </c>
      <c r="C22" s="6" t="s">
        <v>71</v>
      </c>
      <c r="D22" s="7">
        <v>46104</v>
      </c>
      <c r="E22" s="7">
        <v>46101</v>
      </c>
      <c r="F22" s="6" t="s">
        <v>72</v>
      </c>
      <c r="G22" s="6" t="s">
        <v>73</v>
      </c>
    </row>
    <row r="23" spans="1:7" x14ac:dyDescent="0.3">
      <c r="A23" s="6" t="s">
        <v>40</v>
      </c>
      <c r="B23" s="6" t="s">
        <v>102</v>
      </c>
      <c r="C23" s="6" t="s">
        <v>75</v>
      </c>
      <c r="D23" s="7">
        <v>46140</v>
      </c>
      <c r="E23" s="7">
        <v>46143</v>
      </c>
      <c r="F23" s="6" t="s">
        <v>72</v>
      </c>
      <c r="G23" s="6" t="s">
        <v>73</v>
      </c>
    </row>
    <row r="24" spans="1:7" x14ac:dyDescent="0.3">
      <c r="A24" s="6" t="s">
        <v>40</v>
      </c>
      <c r="B24" s="6" t="s">
        <v>103</v>
      </c>
      <c r="C24" s="6" t="s">
        <v>77</v>
      </c>
      <c r="D24" s="7">
        <v>46222</v>
      </c>
      <c r="E24" s="7">
        <v>46217</v>
      </c>
      <c r="F24" s="6" t="s">
        <v>72</v>
      </c>
      <c r="G24" s="6" t="s">
        <v>78</v>
      </c>
    </row>
    <row r="25" spans="1:7" x14ac:dyDescent="0.3">
      <c r="A25" s="6" t="s">
        <v>40</v>
      </c>
      <c r="B25" s="6" t="s">
        <v>104</v>
      </c>
      <c r="C25" s="6" t="s">
        <v>80</v>
      </c>
      <c r="D25" s="7">
        <v>46264</v>
      </c>
      <c r="E25" s="7">
        <v>46261</v>
      </c>
      <c r="F25" s="6" t="s">
        <v>72</v>
      </c>
      <c r="G25" s="6" t="s">
        <v>73</v>
      </c>
    </row>
    <row r="26" spans="1:7" x14ac:dyDescent="0.3">
      <c r="A26" s="6" t="s">
        <v>40</v>
      </c>
      <c r="B26" s="6" t="s">
        <v>105</v>
      </c>
      <c r="C26" s="6" t="s">
        <v>82</v>
      </c>
      <c r="D26" s="7">
        <v>46295</v>
      </c>
      <c r="E26" s="7">
        <v>46290</v>
      </c>
      <c r="F26" s="6" t="s">
        <v>87</v>
      </c>
      <c r="G26" s="6" t="s">
        <v>78</v>
      </c>
    </row>
    <row r="27" spans="1:7" x14ac:dyDescent="0.3">
      <c r="A27" s="6" t="s">
        <v>43</v>
      </c>
      <c r="B27" s="6" t="s">
        <v>106</v>
      </c>
      <c r="C27" s="6" t="s">
        <v>71</v>
      </c>
      <c r="D27" s="7">
        <v>46024</v>
      </c>
      <c r="E27" s="7">
        <v>46032</v>
      </c>
      <c r="F27" s="6" t="s">
        <v>72</v>
      </c>
      <c r="G27" s="6" t="s">
        <v>73</v>
      </c>
    </row>
    <row r="28" spans="1:7" x14ac:dyDescent="0.3">
      <c r="A28" s="6" t="s">
        <v>43</v>
      </c>
      <c r="B28" s="6" t="s">
        <v>107</v>
      </c>
      <c r="C28" s="6" t="s">
        <v>75</v>
      </c>
      <c r="D28" s="7">
        <v>46083</v>
      </c>
      <c r="E28" s="7">
        <v>46109</v>
      </c>
      <c r="F28" s="6" t="s">
        <v>72</v>
      </c>
      <c r="G28" s="6" t="s">
        <v>73</v>
      </c>
    </row>
    <row r="29" spans="1:7" x14ac:dyDescent="0.3">
      <c r="A29" s="6" t="s">
        <v>43</v>
      </c>
      <c r="B29" s="6" t="s">
        <v>108</v>
      </c>
      <c r="C29" s="6" t="s">
        <v>77</v>
      </c>
      <c r="D29" s="7">
        <v>46222</v>
      </c>
      <c r="E29" s="7">
        <v>46292</v>
      </c>
      <c r="F29" s="6" t="s">
        <v>94</v>
      </c>
      <c r="G29" s="6" t="s">
        <v>78</v>
      </c>
    </row>
    <row r="30" spans="1:7" x14ac:dyDescent="0.3">
      <c r="A30" s="6" t="s">
        <v>43</v>
      </c>
      <c r="B30" s="6" t="s">
        <v>109</v>
      </c>
      <c r="C30" s="6" t="s">
        <v>80</v>
      </c>
      <c r="D30" s="7">
        <v>46292</v>
      </c>
      <c r="E30" s="7">
        <v>46374</v>
      </c>
      <c r="F30" s="6" t="s">
        <v>87</v>
      </c>
      <c r="G30" s="6" t="s">
        <v>73</v>
      </c>
    </row>
    <row r="31" spans="1:7" x14ac:dyDescent="0.3">
      <c r="A31" s="6" t="s">
        <v>43</v>
      </c>
      <c r="B31" s="6" t="s">
        <v>110</v>
      </c>
      <c r="C31" s="6" t="s">
        <v>82</v>
      </c>
      <c r="D31" s="7">
        <v>46344</v>
      </c>
      <c r="E31" s="7">
        <v>46441</v>
      </c>
      <c r="F31" s="6" t="s">
        <v>89</v>
      </c>
      <c r="G31" s="6" t="s">
        <v>78</v>
      </c>
    </row>
    <row r="32" spans="1:7" x14ac:dyDescent="0.3">
      <c r="A32" s="6" t="s">
        <v>47</v>
      </c>
      <c r="B32" s="6" t="s">
        <v>111</v>
      </c>
      <c r="C32" s="6" t="s">
        <v>71</v>
      </c>
      <c r="D32" s="7">
        <v>46074</v>
      </c>
      <c r="E32" s="7">
        <v>46078</v>
      </c>
      <c r="F32" s="6" t="s">
        <v>72</v>
      </c>
      <c r="G32" s="6" t="s">
        <v>73</v>
      </c>
    </row>
    <row r="33" spans="1:7" x14ac:dyDescent="0.3">
      <c r="A33" s="6" t="s">
        <v>47</v>
      </c>
      <c r="B33" s="6" t="s">
        <v>112</v>
      </c>
      <c r="C33" s="6" t="s">
        <v>75</v>
      </c>
      <c r="D33" s="7">
        <v>46141</v>
      </c>
      <c r="E33" s="7">
        <v>46145</v>
      </c>
      <c r="F33" s="6" t="s">
        <v>72</v>
      </c>
      <c r="G33" s="6" t="s">
        <v>73</v>
      </c>
    </row>
    <row r="34" spans="1:7" x14ac:dyDescent="0.3">
      <c r="A34" s="6" t="s">
        <v>47</v>
      </c>
      <c r="B34" s="6" t="s">
        <v>113</v>
      </c>
      <c r="C34" s="6" t="s">
        <v>77</v>
      </c>
      <c r="D34" s="7">
        <v>46303</v>
      </c>
      <c r="E34" s="7">
        <v>46314</v>
      </c>
      <c r="F34" s="6" t="s">
        <v>87</v>
      </c>
      <c r="G34" s="6" t="s">
        <v>78</v>
      </c>
    </row>
    <row r="35" spans="1:7" x14ac:dyDescent="0.3">
      <c r="A35" s="6" t="s">
        <v>47</v>
      </c>
      <c r="B35" s="6" t="s">
        <v>114</v>
      </c>
      <c r="C35" s="6" t="s">
        <v>80</v>
      </c>
      <c r="D35" s="7">
        <v>46385</v>
      </c>
      <c r="E35" s="7">
        <v>46403</v>
      </c>
      <c r="F35" s="6" t="s">
        <v>89</v>
      </c>
      <c r="G35" s="6" t="s">
        <v>73</v>
      </c>
    </row>
    <row r="36" spans="1:7" x14ac:dyDescent="0.3">
      <c r="A36" s="6" t="s">
        <v>47</v>
      </c>
      <c r="B36" s="6" t="s">
        <v>115</v>
      </c>
      <c r="C36" s="6" t="s">
        <v>82</v>
      </c>
      <c r="D36" s="7">
        <v>46446</v>
      </c>
      <c r="E36" s="7">
        <v>46469</v>
      </c>
      <c r="F36" s="6" t="s">
        <v>89</v>
      </c>
      <c r="G36" s="6" t="s">
        <v>78</v>
      </c>
    </row>
    <row r="37" spans="1:7" x14ac:dyDescent="0.3">
      <c r="A37" s="6" t="s">
        <v>51</v>
      </c>
      <c r="B37" s="6" t="s">
        <v>116</v>
      </c>
      <c r="C37" s="6" t="s">
        <v>71</v>
      </c>
      <c r="D37" s="7">
        <v>46140</v>
      </c>
      <c r="E37" s="7">
        <v>46140</v>
      </c>
      <c r="F37" s="6" t="s">
        <v>72</v>
      </c>
      <c r="G37" s="6" t="s">
        <v>73</v>
      </c>
    </row>
    <row r="38" spans="1:7" x14ac:dyDescent="0.3">
      <c r="A38" s="6" t="s">
        <v>51</v>
      </c>
      <c r="B38" s="6" t="s">
        <v>117</v>
      </c>
      <c r="C38" s="6" t="s">
        <v>75</v>
      </c>
      <c r="D38" s="7">
        <v>46190</v>
      </c>
      <c r="E38" s="7">
        <v>46195</v>
      </c>
      <c r="F38" s="6" t="s">
        <v>72</v>
      </c>
      <c r="G38" s="6" t="s">
        <v>73</v>
      </c>
    </row>
    <row r="39" spans="1:7" x14ac:dyDescent="0.3">
      <c r="A39" s="6" t="s">
        <v>51</v>
      </c>
      <c r="B39" s="6" t="s">
        <v>118</v>
      </c>
      <c r="C39" s="6" t="s">
        <v>77</v>
      </c>
      <c r="D39" s="7">
        <v>46309</v>
      </c>
      <c r="E39" s="7">
        <v>46329</v>
      </c>
      <c r="F39" s="6" t="s">
        <v>87</v>
      </c>
      <c r="G39" s="6" t="s">
        <v>78</v>
      </c>
    </row>
    <row r="40" spans="1:7" x14ac:dyDescent="0.3">
      <c r="A40" s="6" t="s">
        <v>51</v>
      </c>
      <c r="B40" s="6" t="s">
        <v>119</v>
      </c>
      <c r="C40" s="6" t="s">
        <v>80</v>
      </c>
      <c r="D40" s="7">
        <v>46368</v>
      </c>
      <c r="E40" s="7">
        <v>46396</v>
      </c>
      <c r="F40" s="6" t="s">
        <v>89</v>
      </c>
      <c r="G40" s="6" t="s">
        <v>73</v>
      </c>
    </row>
    <row r="41" spans="1:7" x14ac:dyDescent="0.3">
      <c r="A41" s="6" t="s">
        <v>51</v>
      </c>
      <c r="B41" s="6" t="s">
        <v>120</v>
      </c>
      <c r="C41" s="6" t="s">
        <v>82</v>
      </c>
      <c r="D41" s="7">
        <v>46413</v>
      </c>
      <c r="E41" s="7">
        <v>46451</v>
      </c>
      <c r="F41" s="6" t="s">
        <v>89</v>
      </c>
      <c r="G41" s="6" t="s">
        <v>78</v>
      </c>
    </row>
    <row r="42" spans="1:7" x14ac:dyDescent="0.3">
      <c r="A42" s="6" t="s">
        <v>55</v>
      </c>
      <c r="B42" s="6" t="s">
        <v>121</v>
      </c>
      <c r="C42" s="6" t="s">
        <v>71</v>
      </c>
      <c r="D42" s="7">
        <v>46017</v>
      </c>
      <c r="E42" s="7">
        <v>46022</v>
      </c>
      <c r="F42" s="6" t="s">
        <v>72</v>
      </c>
      <c r="G42" s="6" t="s">
        <v>73</v>
      </c>
    </row>
    <row r="43" spans="1:7" x14ac:dyDescent="0.3">
      <c r="A43" s="6" t="s">
        <v>55</v>
      </c>
      <c r="B43" s="6" t="s">
        <v>122</v>
      </c>
      <c r="C43" s="6" t="s">
        <v>75</v>
      </c>
      <c r="D43" s="7">
        <v>46045</v>
      </c>
      <c r="E43" s="7">
        <v>46047</v>
      </c>
      <c r="F43" s="6" t="s">
        <v>72</v>
      </c>
      <c r="G43" s="6" t="s">
        <v>73</v>
      </c>
    </row>
    <row r="44" spans="1:7" x14ac:dyDescent="0.3">
      <c r="A44" s="6" t="s">
        <v>55</v>
      </c>
      <c r="B44" s="6" t="s">
        <v>123</v>
      </c>
      <c r="C44" s="6" t="s">
        <v>77</v>
      </c>
      <c r="D44" s="7">
        <v>46114</v>
      </c>
      <c r="E44" s="7">
        <v>46119</v>
      </c>
      <c r="F44" s="6" t="s">
        <v>72</v>
      </c>
      <c r="G44" s="6" t="s">
        <v>78</v>
      </c>
    </row>
    <row r="45" spans="1:7" x14ac:dyDescent="0.3">
      <c r="A45" s="6" t="s">
        <v>55</v>
      </c>
      <c r="B45" s="6" t="s">
        <v>124</v>
      </c>
      <c r="C45" s="6" t="s">
        <v>80</v>
      </c>
      <c r="D45" s="7">
        <v>46147</v>
      </c>
      <c r="E45" s="7">
        <v>46152</v>
      </c>
      <c r="F45" s="6" t="s">
        <v>72</v>
      </c>
      <c r="G45" s="6" t="s">
        <v>73</v>
      </c>
    </row>
    <row r="46" spans="1:7" x14ac:dyDescent="0.3">
      <c r="A46" s="6" t="s">
        <v>55</v>
      </c>
      <c r="B46" s="6" t="s">
        <v>125</v>
      </c>
      <c r="C46" s="6" t="s">
        <v>82</v>
      </c>
      <c r="D46" s="7">
        <v>46172</v>
      </c>
      <c r="E46" s="7">
        <v>46175</v>
      </c>
      <c r="F46" s="6" t="s">
        <v>72</v>
      </c>
      <c r="G46" s="6" t="s">
        <v>78</v>
      </c>
    </row>
    <row r="47" spans="1:7" x14ac:dyDescent="0.3">
      <c r="A47" s="6" t="s">
        <v>58</v>
      </c>
      <c r="B47" s="6" t="s">
        <v>126</v>
      </c>
      <c r="C47" s="6" t="s">
        <v>71</v>
      </c>
      <c r="D47" s="7">
        <v>46159</v>
      </c>
      <c r="E47" s="7">
        <v>46161</v>
      </c>
      <c r="F47" s="6" t="s">
        <v>72</v>
      </c>
      <c r="G47" s="6" t="s">
        <v>73</v>
      </c>
    </row>
    <row r="48" spans="1:7" x14ac:dyDescent="0.3">
      <c r="A48" s="6" t="s">
        <v>58</v>
      </c>
      <c r="B48" s="6" t="s">
        <v>127</v>
      </c>
      <c r="C48" s="6" t="s">
        <v>75</v>
      </c>
      <c r="D48" s="7">
        <v>46193</v>
      </c>
      <c r="E48" s="7">
        <v>46193</v>
      </c>
      <c r="F48" s="6" t="s">
        <v>72</v>
      </c>
      <c r="G48" s="6" t="s">
        <v>73</v>
      </c>
    </row>
    <row r="49" spans="1:7" x14ac:dyDescent="0.3">
      <c r="A49" s="6" t="s">
        <v>58</v>
      </c>
      <c r="B49" s="6" t="s">
        <v>128</v>
      </c>
      <c r="C49" s="6" t="s">
        <v>77</v>
      </c>
      <c r="D49" s="7">
        <v>46272</v>
      </c>
      <c r="E49" s="7">
        <v>46271</v>
      </c>
      <c r="F49" s="6" t="s">
        <v>87</v>
      </c>
      <c r="G49" s="6" t="s">
        <v>78</v>
      </c>
    </row>
    <row r="50" spans="1:7" x14ac:dyDescent="0.3">
      <c r="A50" s="6" t="s">
        <v>58</v>
      </c>
      <c r="B50" s="6" t="s">
        <v>129</v>
      </c>
      <c r="C50" s="6" t="s">
        <v>80</v>
      </c>
      <c r="D50" s="7">
        <v>46310</v>
      </c>
      <c r="E50" s="7">
        <v>46308</v>
      </c>
      <c r="F50" s="6" t="s">
        <v>89</v>
      </c>
      <c r="G50" s="6" t="s">
        <v>73</v>
      </c>
    </row>
    <row r="51" spans="1:7" x14ac:dyDescent="0.3">
      <c r="A51" s="6" t="s">
        <v>58</v>
      </c>
      <c r="B51" s="6" t="s">
        <v>130</v>
      </c>
      <c r="C51" s="6" t="s">
        <v>82</v>
      </c>
      <c r="D51" s="7">
        <v>46341</v>
      </c>
      <c r="E51" s="7">
        <v>46336</v>
      </c>
      <c r="F51" s="6" t="s">
        <v>89</v>
      </c>
      <c r="G51" s="6" t="s">
        <v>78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5"/>
  <sheetViews>
    <sheetView workbookViewId="0">
      <pane ySplit="1" topLeftCell="A2" activePane="bottomLeft" state="frozen"/>
      <selection pane="bottomLeft" activeCell="H12" sqref="H12"/>
    </sheetView>
  </sheetViews>
  <sheetFormatPr baseColWidth="10" defaultColWidth="8.88671875" defaultRowHeight="14.4" x14ac:dyDescent="0.3"/>
  <cols>
    <col min="1" max="1" width="13" customWidth="1"/>
    <col min="2" max="2" width="12" customWidth="1"/>
    <col min="3" max="4" width="22" customWidth="1"/>
    <col min="5" max="5" width="24" customWidth="1"/>
    <col min="7" max="12" width="22.33203125" bestFit="1" customWidth="1"/>
    <col min="13" max="13" width="11.88671875" bestFit="1" customWidth="1"/>
    <col min="14" max="14" width="11" bestFit="1" customWidth="1"/>
    <col min="15" max="15" width="8.33203125" bestFit="1" customWidth="1"/>
    <col min="16" max="16" width="8.77734375" bestFit="1" customWidth="1"/>
    <col min="17" max="17" width="11.44140625" bestFit="1" customWidth="1"/>
    <col min="18" max="18" width="8.77734375" bestFit="1" customWidth="1"/>
    <col min="20" max="20" width="11.5546875" bestFit="1" customWidth="1"/>
    <col min="22" max="22" width="8.21875" bestFit="1" customWidth="1"/>
    <col min="23" max="23" width="10.88671875" bestFit="1" customWidth="1"/>
    <col min="24" max="24" width="8.21875" bestFit="1" customWidth="1"/>
    <col min="25" max="25" width="9.5546875" bestFit="1" customWidth="1"/>
    <col min="26" max="26" width="12.21875" bestFit="1" customWidth="1"/>
    <col min="27" max="27" width="9.5546875" bestFit="1" customWidth="1"/>
    <col min="28" max="28" width="9.21875" bestFit="1" customWidth="1"/>
    <col min="29" max="29" width="11.88671875" bestFit="1" customWidth="1"/>
    <col min="30" max="30" width="9.21875" bestFit="1" customWidth="1"/>
    <col min="31" max="31" width="11.88671875" bestFit="1" customWidth="1"/>
  </cols>
  <sheetData>
    <row r="1" spans="1:5" ht="31.95" customHeight="1" x14ac:dyDescent="0.3">
      <c r="A1" s="5" t="s">
        <v>63</v>
      </c>
      <c r="B1" s="5" t="s">
        <v>131</v>
      </c>
      <c r="C1" s="5" t="s">
        <v>132</v>
      </c>
      <c r="D1" s="5" t="s">
        <v>133</v>
      </c>
      <c r="E1" s="5" t="s">
        <v>134</v>
      </c>
    </row>
    <row r="2" spans="1:5" x14ac:dyDescent="0.3">
      <c r="A2" s="6" t="s">
        <v>20</v>
      </c>
      <c r="B2" s="9">
        <v>46022</v>
      </c>
      <c r="C2" s="10">
        <v>3.4000000000000002E-2</v>
      </c>
      <c r="D2" s="10">
        <v>3.3000000000000002E-2</v>
      </c>
      <c r="E2" s="11">
        <v>14.1</v>
      </c>
    </row>
    <row r="3" spans="1:5" x14ac:dyDescent="0.3">
      <c r="A3" s="6" t="s">
        <v>20</v>
      </c>
      <c r="B3" s="9">
        <v>46053</v>
      </c>
      <c r="C3" s="10">
        <v>0.14000000000000001</v>
      </c>
      <c r="D3" s="10">
        <v>0.13800000000000001</v>
      </c>
      <c r="E3" s="11">
        <v>59.5</v>
      </c>
    </row>
    <row r="4" spans="1:5" x14ac:dyDescent="0.3">
      <c r="A4" s="6" t="s">
        <v>20</v>
      </c>
      <c r="B4" s="9">
        <v>46081</v>
      </c>
      <c r="C4" s="10">
        <v>0.32300000000000001</v>
      </c>
      <c r="D4" s="10">
        <v>0.311</v>
      </c>
      <c r="E4" s="11">
        <v>135.80000000000001</v>
      </c>
    </row>
    <row r="5" spans="1:5" x14ac:dyDescent="0.3">
      <c r="A5" s="6" t="s">
        <v>20</v>
      </c>
      <c r="B5" s="9">
        <v>46112</v>
      </c>
      <c r="C5" s="10">
        <v>0.53200000000000003</v>
      </c>
      <c r="D5" s="10">
        <v>0.51</v>
      </c>
      <c r="E5" s="11">
        <v>217.8</v>
      </c>
    </row>
    <row r="6" spans="1:5" x14ac:dyDescent="0.3">
      <c r="A6" s="6" t="s">
        <v>20</v>
      </c>
      <c r="B6" s="9">
        <v>46142</v>
      </c>
      <c r="C6" s="10">
        <v>0.74199999999999999</v>
      </c>
      <c r="D6" s="10">
        <v>0.72499999999999998</v>
      </c>
      <c r="E6" s="11">
        <v>306.3</v>
      </c>
    </row>
    <row r="7" spans="1:5" x14ac:dyDescent="0.3">
      <c r="A7" s="6" t="s">
        <v>20</v>
      </c>
      <c r="B7" s="9">
        <v>46173</v>
      </c>
      <c r="C7" s="10">
        <v>0.90100000000000002</v>
      </c>
      <c r="D7" s="10">
        <v>0.874</v>
      </c>
      <c r="E7" s="11">
        <v>367.4</v>
      </c>
    </row>
    <row r="8" spans="1:5" x14ac:dyDescent="0.3">
      <c r="A8" s="6" t="s">
        <v>20</v>
      </c>
      <c r="B8" s="9">
        <v>46203</v>
      </c>
      <c r="C8" s="10">
        <v>0.99</v>
      </c>
      <c r="D8" s="10">
        <v>0.96499999999999997</v>
      </c>
      <c r="E8" s="11">
        <v>417.9</v>
      </c>
    </row>
    <row r="9" spans="1:5" x14ac:dyDescent="0.3">
      <c r="A9" s="6" t="s">
        <v>20</v>
      </c>
      <c r="B9" s="9">
        <v>46234</v>
      </c>
      <c r="C9" s="10">
        <v>1</v>
      </c>
      <c r="D9" s="10">
        <v>0.97199999999999998</v>
      </c>
      <c r="E9" s="11">
        <v>422.7</v>
      </c>
    </row>
    <row r="10" spans="1:5" x14ac:dyDescent="0.3">
      <c r="A10" s="6" t="s">
        <v>20</v>
      </c>
      <c r="B10" s="9">
        <v>46265</v>
      </c>
      <c r="C10" s="10">
        <v>1</v>
      </c>
      <c r="D10" s="10">
        <v>0.96499999999999997</v>
      </c>
      <c r="E10" s="11">
        <v>416.5</v>
      </c>
    </row>
    <row r="11" spans="1:5" x14ac:dyDescent="0.3">
      <c r="A11" s="6" t="s">
        <v>26</v>
      </c>
      <c r="B11" s="9">
        <v>46053</v>
      </c>
      <c r="C11" s="10">
        <v>1.7999999999999999E-2</v>
      </c>
      <c r="D11" s="10">
        <v>1.7999999999999999E-2</v>
      </c>
      <c r="E11" s="11">
        <v>4.7</v>
      </c>
    </row>
    <row r="12" spans="1:5" x14ac:dyDescent="0.3">
      <c r="A12" s="6" t="s">
        <v>26</v>
      </c>
      <c r="B12" s="9">
        <v>46081</v>
      </c>
      <c r="C12" s="10">
        <v>8.5999999999999993E-2</v>
      </c>
      <c r="D12" s="10">
        <v>8.5999999999999993E-2</v>
      </c>
      <c r="E12" s="11">
        <v>22.2</v>
      </c>
    </row>
    <row r="13" spans="1:5" x14ac:dyDescent="0.3">
      <c r="A13" s="6" t="s">
        <v>26</v>
      </c>
      <c r="B13" s="9">
        <v>46112</v>
      </c>
      <c r="C13" s="10">
        <v>0.192</v>
      </c>
      <c r="D13" s="10">
        <v>0.19500000000000001</v>
      </c>
      <c r="E13" s="11">
        <v>49.6</v>
      </c>
    </row>
    <row r="14" spans="1:5" x14ac:dyDescent="0.3">
      <c r="A14" s="6" t="s">
        <v>26</v>
      </c>
      <c r="B14" s="9">
        <v>46142</v>
      </c>
      <c r="C14" s="10">
        <v>0.33400000000000002</v>
      </c>
      <c r="D14" s="10">
        <v>0.33500000000000002</v>
      </c>
      <c r="E14" s="11">
        <v>83.9</v>
      </c>
    </row>
    <row r="15" spans="1:5" x14ac:dyDescent="0.3">
      <c r="A15" s="6" t="s">
        <v>26</v>
      </c>
      <c r="B15" s="9">
        <v>46173</v>
      </c>
      <c r="C15" s="10">
        <v>0.48699999999999999</v>
      </c>
      <c r="D15" s="10">
        <v>0.49</v>
      </c>
      <c r="E15" s="11">
        <v>125.6</v>
      </c>
    </row>
    <row r="16" spans="1:5" x14ac:dyDescent="0.3">
      <c r="A16" s="6" t="s">
        <v>26</v>
      </c>
      <c r="B16" s="9">
        <v>46203</v>
      </c>
      <c r="C16" s="10">
        <v>0.64700000000000002</v>
      </c>
      <c r="D16" s="10">
        <v>0.65600000000000003</v>
      </c>
      <c r="E16" s="11">
        <v>169.3</v>
      </c>
    </row>
    <row r="17" spans="1:5" x14ac:dyDescent="0.3">
      <c r="A17" s="6" t="s">
        <v>26</v>
      </c>
      <c r="B17" s="9">
        <v>46234</v>
      </c>
      <c r="C17" s="10">
        <v>0.79100000000000004</v>
      </c>
      <c r="D17" s="10">
        <v>0.78600000000000003</v>
      </c>
      <c r="E17" s="11">
        <v>199.3</v>
      </c>
    </row>
    <row r="18" spans="1:5" x14ac:dyDescent="0.3">
      <c r="A18" s="6" t="s">
        <v>26</v>
      </c>
      <c r="B18" s="9">
        <v>46265</v>
      </c>
      <c r="C18" s="10">
        <v>0.90200000000000002</v>
      </c>
      <c r="D18" s="10">
        <v>0.90700000000000003</v>
      </c>
      <c r="E18" s="11">
        <v>226.6</v>
      </c>
    </row>
    <row r="19" spans="1:5" x14ac:dyDescent="0.3">
      <c r="A19" s="6" t="s">
        <v>32</v>
      </c>
      <c r="B19" s="9">
        <v>46022</v>
      </c>
      <c r="C19" s="10">
        <v>1.7000000000000001E-2</v>
      </c>
      <c r="D19" s="10">
        <v>1.2E-2</v>
      </c>
      <c r="E19" s="11">
        <v>2.7</v>
      </c>
    </row>
    <row r="20" spans="1:5" x14ac:dyDescent="0.3">
      <c r="A20" s="6" t="s">
        <v>32</v>
      </c>
      <c r="B20" s="9">
        <v>46053</v>
      </c>
      <c r="C20" s="10">
        <v>9.9000000000000005E-2</v>
      </c>
      <c r="D20" s="10">
        <v>7.0000000000000007E-2</v>
      </c>
      <c r="E20" s="11">
        <v>15.5</v>
      </c>
    </row>
    <row r="21" spans="1:5" x14ac:dyDescent="0.3">
      <c r="A21" s="6" t="s">
        <v>32</v>
      </c>
      <c r="B21" s="9">
        <v>46081</v>
      </c>
      <c r="C21" s="10">
        <v>0.25600000000000001</v>
      </c>
      <c r="D21" s="10">
        <v>0.186</v>
      </c>
      <c r="E21" s="11">
        <v>41.2</v>
      </c>
    </row>
    <row r="22" spans="1:5" x14ac:dyDescent="0.3">
      <c r="A22" s="6" t="s">
        <v>32</v>
      </c>
      <c r="B22" s="9">
        <v>46112</v>
      </c>
      <c r="C22" s="10">
        <v>0.44900000000000001</v>
      </c>
      <c r="D22" s="10">
        <v>0.32100000000000001</v>
      </c>
      <c r="E22" s="11">
        <v>71.900000000000006</v>
      </c>
    </row>
    <row r="23" spans="1:5" x14ac:dyDescent="0.3">
      <c r="A23" s="6" t="s">
        <v>32</v>
      </c>
      <c r="B23" s="9">
        <v>46142</v>
      </c>
      <c r="C23" s="10">
        <v>0.65700000000000003</v>
      </c>
      <c r="D23" s="10">
        <v>0.47799999999999998</v>
      </c>
      <c r="E23" s="11">
        <v>105.8</v>
      </c>
    </row>
    <row r="24" spans="1:5" x14ac:dyDescent="0.3">
      <c r="A24" s="6" t="s">
        <v>32</v>
      </c>
      <c r="B24" s="9">
        <v>46173</v>
      </c>
      <c r="C24" s="10">
        <v>0.83299999999999996</v>
      </c>
      <c r="D24" s="10">
        <v>0.59899999999999998</v>
      </c>
      <c r="E24" s="11">
        <v>134.9</v>
      </c>
    </row>
    <row r="25" spans="1:5" x14ac:dyDescent="0.3">
      <c r="A25" s="6" t="s">
        <v>32</v>
      </c>
      <c r="B25" s="9">
        <v>46203</v>
      </c>
      <c r="C25" s="10">
        <v>0.95599999999999996</v>
      </c>
      <c r="D25" s="10">
        <v>0.69599999999999995</v>
      </c>
      <c r="E25" s="11">
        <v>158.69999999999999</v>
      </c>
    </row>
    <row r="26" spans="1:5" x14ac:dyDescent="0.3">
      <c r="A26" s="6" t="s">
        <v>32</v>
      </c>
      <c r="B26" s="9">
        <v>46234</v>
      </c>
      <c r="C26" s="10">
        <v>1</v>
      </c>
      <c r="D26" s="10">
        <v>0.72799999999999998</v>
      </c>
      <c r="E26" s="11">
        <v>162.30000000000001</v>
      </c>
    </row>
    <row r="27" spans="1:5" x14ac:dyDescent="0.3">
      <c r="A27" s="6" t="s">
        <v>32</v>
      </c>
      <c r="B27" s="9">
        <v>46265</v>
      </c>
      <c r="C27" s="10">
        <v>1</v>
      </c>
      <c r="D27" s="10">
        <v>0.71799999999999997</v>
      </c>
      <c r="E27" s="11">
        <v>160.69999999999999</v>
      </c>
    </row>
    <row r="28" spans="1:5" x14ac:dyDescent="0.3">
      <c r="A28" s="6" t="s">
        <v>37</v>
      </c>
      <c r="B28" s="9">
        <v>46081</v>
      </c>
      <c r="C28" s="10">
        <v>2.1999999999999999E-2</v>
      </c>
      <c r="D28" s="10">
        <v>1.7999999999999999E-2</v>
      </c>
      <c r="E28" s="11">
        <v>6.7</v>
      </c>
    </row>
    <row r="29" spans="1:5" x14ac:dyDescent="0.3">
      <c r="A29" s="6" t="s">
        <v>37</v>
      </c>
      <c r="B29" s="9">
        <v>46112</v>
      </c>
      <c r="C29" s="10">
        <v>0.09</v>
      </c>
      <c r="D29" s="10">
        <v>7.0999999999999994E-2</v>
      </c>
      <c r="E29" s="11">
        <v>25.9</v>
      </c>
    </row>
    <row r="30" spans="1:5" x14ac:dyDescent="0.3">
      <c r="A30" s="6" t="s">
        <v>37</v>
      </c>
      <c r="B30" s="9">
        <v>46142</v>
      </c>
      <c r="C30" s="10">
        <v>0.20100000000000001</v>
      </c>
      <c r="D30" s="10">
        <v>0.16</v>
      </c>
      <c r="E30" s="11">
        <v>58</v>
      </c>
    </row>
    <row r="31" spans="1:5" x14ac:dyDescent="0.3">
      <c r="A31" s="6" t="s">
        <v>37</v>
      </c>
      <c r="B31" s="9">
        <v>46173</v>
      </c>
      <c r="C31" s="10">
        <v>0.33800000000000002</v>
      </c>
      <c r="D31" s="10">
        <v>0.27</v>
      </c>
      <c r="E31" s="11">
        <v>99.6</v>
      </c>
    </row>
    <row r="32" spans="1:5" x14ac:dyDescent="0.3">
      <c r="A32" s="6" t="s">
        <v>37</v>
      </c>
      <c r="B32" s="9">
        <v>46203</v>
      </c>
      <c r="C32" s="10">
        <v>0.495</v>
      </c>
      <c r="D32" s="10">
        <v>0.39300000000000002</v>
      </c>
      <c r="E32" s="11">
        <v>141.6</v>
      </c>
    </row>
    <row r="33" spans="1:5" x14ac:dyDescent="0.3">
      <c r="A33" s="6" t="s">
        <v>37</v>
      </c>
      <c r="B33" s="9">
        <v>46234</v>
      </c>
      <c r="C33" s="10">
        <v>0.65300000000000002</v>
      </c>
      <c r="D33" s="10">
        <v>0.52100000000000002</v>
      </c>
      <c r="E33" s="11">
        <v>190.4</v>
      </c>
    </row>
    <row r="34" spans="1:5" x14ac:dyDescent="0.3">
      <c r="A34" s="6" t="s">
        <v>37</v>
      </c>
      <c r="B34" s="9">
        <v>46265</v>
      </c>
      <c r="C34" s="10">
        <v>0.79100000000000004</v>
      </c>
      <c r="D34" s="10">
        <v>0.63400000000000001</v>
      </c>
      <c r="E34" s="11">
        <v>237.1</v>
      </c>
    </row>
    <row r="35" spans="1:5" x14ac:dyDescent="0.3">
      <c r="A35" s="6" t="s">
        <v>40</v>
      </c>
      <c r="B35" s="9">
        <v>46112</v>
      </c>
      <c r="C35" s="10">
        <v>3.2000000000000001E-2</v>
      </c>
      <c r="D35" s="10">
        <v>3.4000000000000002E-2</v>
      </c>
      <c r="E35" s="11">
        <v>3.8</v>
      </c>
    </row>
    <row r="36" spans="1:5" x14ac:dyDescent="0.3">
      <c r="A36" s="6" t="s">
        <v>40</v>
      </c>
      <c r="B36" s="9">
        <v>46142</v>
      </c>
      <c r="C36" s="10">
        <v>0.16300000000000001</v>
      </c>
      <c r="D36" s="10">
        <v>0.16800000000000001</v>
      </c>
      <c r="E36" s="11">
        <v>19.3</v>
      </c>
    </row>
    <row r="37" spans="1:5" x14ac:dyDescent="0.3">
      <c r="A37" s="6" t="s">
        <v>40</v>
      </c>
      <c r="B37" s="9">
        <v>46173</v>
      </c>
      <c r="C37" s="10">
        <v>0.35799999999999998</v>
      </c>
      <c r="D37" s="10">
        <v>0.36399999999999999</v>
      </c>
      <c r="E37" s="11">
        <v>42.2</v>
      </c>
    </row>
    <row r="38" spans="1:5" x14ac:dyDescent="0.3">
      <c r="A38" s="6" t="s">
        <v>40</v>
      </c>
      <c r="B38" s="9">
        <v>46203</v>
      </c>
      <c r="C38" s="10">
        <v>0.59</v>
      </c>
      <c r="D38" s="10">
        <v>0.61299999999999999</v>
      </c>
      <c r="E38" s="11">
        <v>70.900000000000006</v>
      </c>
    </row>
    <row r="39" spans="1:5" x14ac:dyDescent="0.3">
      <c r="A39" s="6" t="s">
        <v>40</v>
      </c>
      <c r="B39" s="9">
        <v>46234</v>
      </c>
      <c r="C39" s="10">
        <v>0.80200000000000005</v>
      </c>
      <c r="D39" s="10">
        <v>0.83399999999999996</v>
      </c>
      <c r="E39" s="11">
        <v>94.6</v>
      </c>
    </row>
    <row r="40" spans="1:5" x14ac:dyDescent="0.3">
      <c r="A40" s="6" t="s">
        <v>40</v>
      </c>
      <c r="B40" s="9">
        <v>46265</v>
      </c>
      <c r="C40" s="10">
        <v>0.94599999999999995</v>
      </c>
      <c r="D40" s="10">
        <v>0.97199999999999998</v>
      </c>
      <c r="E40" s="11">
        <v>109</v>
      </c>
    </row>
    <row r="41" spans="1:5" x14ac:dyDescent="0.3">
      <c r="A41" s="6" t="s">
        <v>43</v>
      </c>
      <c r="B41" s="9">
        <v>46022</v>
      </c>
      <c r="C41" s="10">
        <v>1.4E-2</v>
      </c>
      <c r="D41" s="10">
        <v>1.0999999999999999E-2</v>
      </c>
      <c r="E41" s="11">
        <v>6.4</v>
      </c>
    </row>
    <row r="42" spans="1:5" x14ac:dyDescent="0.3">
      <c r="A42" s="6" t="s">
        <v>43</v>
      </c>
      <c r="B42" s="9">
        <v>46053</v>
      </c>
      <c r="C42" s="10">
        <v>5.8999999999999997E-2</v>
      </c>
      <c r="D42" s="10">
        <v>4.4999999999999998E-2</v>
      </c>
      <c r="E42" s="11">
        <v>26.8</v>
      </c>
    </row>
    <row r="43" spans="1:5" x14ac:dyDescent="0.3">
      <c r="A43" s="6" t="s">
        <v>43</v>
      </c>
      <c r="B43" s="9">
        <v>46081</v>
      </c>
      <c r="C43" s="10">
        <v>0.14099999999999999</v>
      </c>
      <c r="D43" s="10">
        <v>0.109</v>
      </c>
      <c r="E43" s="11">
        <v>65</v>
      </c>
    </row>
    <row r="44" spans="1:5" x14ac:dyDescent="0.3">
      <c r="A44" s="6" t="s">
        <v>43</v>
      </c>
      <c r="B44" s="9">
        <v>46112</v>
      </c>
      <c r="C44" s="10">
        <v>0.247</v>
      </c>
      <c r="D44" s="10">
        <v>0.19</v>
      </c>
      <c r="E44" s="11">
        <v>112.3</v>
      </c>
    </row>
    <row r="45" spans="1:5" x14ac:dyDescent="0.3">
      <c r="A45" s="6" t="s">
        <v>43</v>
      </c>
      <c r="B45" s="9">
        <v>46142</v>
      </c>
      <c r="C45" s="10">
        <v>0.377</v>
      </c>
      <c r="D45" s="10">
        <v>0.29099999999999998</v>
      </c>
      <c r="E45" s="11">
        <v>172.2</v>
      </c>
    </row>
    <row r="46" spans="1:5" x14ac:dyDescent="0.3">
      <c r="A46" s="6" t="s">
        <v>43</v>
      </c>
      <c r="B46" s="9">
        <v>46173</v>
      </c>
      <c r="C46" s="10">
        <v>0.51100000000000001</v>
      </c>
      <c r="D46" s="10">
        <v>0.39700000000000002</v>
      </c>
      <c r="E46" s="11">
        <v>234.5</v>
      </c>
    </row>
    <row r="47" spans="1:5" x14ac:dyDescent="0.3">
      <c r="A47" s="6" t="s">
        <v>43</v>
      </c>
      <c r="B47" s="9">
        <v>46203</v>
      </c>
      <c r="C47" s="10">
        <v>0.64900000000000002</v>
      </c>
      <c r="D47" s="10">
        <v>0.51200000000000001</v>
      </c>
      <c r="E47" s="11">
        <v>309.60000000000002</v>
      </c>
    </row>
    <row r="48" spans="1:5" x14ac:dyDescent="0.3">
      <c r="A48" s="6" t="s">
        <v>43</v>
      </c>
      <c r="B48" s="9">
        <v>46234</v>
      </c>
      <c r="C48" s="10">
        <v>0.77600000000000002</v>
      </c>
      <c r="D48" s="10">
        <v>0.59899999999999998</v>
      </c>
      <c r="E48" s="11">
        <v>356.7</v>
      </c>
    </row>
    <row r="49" spans="1:5" x14ac:dyDescent="0.3">
      <c r="A49" s="6" t="s">
        <v>43</v>
      </c>
      <c r="B49" s="9">
        <v>46265</v>
      </c>
      <c r="C49" s="10">
        <v>0.877</v>
      </c>
      <c r="D49" s="10">
        <v>0.68100000000000005</v>
      </c>
      <c r="E49" s="11">
        <v>407.8</v>
      </c>
    </row>
    <row r="50" spans="1:5" x14ac:dyDescent="0.3">
      <c r="A50" s="6" t="s">
        <v>47</v>
      </c>
      <c r="B50" s="9">
        <v>46053</v>
      </c>
      <c r="C50" s="10">
        <v>2E-3</v>
      </c>
      <c r="D50" s="10">
        <v>2E-3</v>
      </c>
      <c r="E50" s="11">
        <v>1</v>
      </c>
    </row>
    <row r="51" spans="1:5" x14ac:dyDescent="0.3">
      <c r="A51" s="6" t="s">
        <v>47</v>
      </c>
      <c r="B51" s="9">
        <v>46081</v>
      </c>
      <c r="C51" s="10">
        <v>2.7E-2</v>
      </c>
      <c r="D51" s="10">
        <v>2.5999999999999999E-2</v>
      </c>
      <c r="E51" s="11">
        <v>12.5</v>
      </c>
    </row>
    <row r="52" spans="1:5" x14ac:dyDescent="0.3">
      <c r="A52" s="6" t="s">
        <v>47</v>
      </c>
      <c r="B52" s="9">
        <v>46112</v>
      </c>
      <c r="C52" s="10">
        <v>7.6999999999999999E-2</v>
      </c>
      <c r="D52" s="10">
        <v>7.2999999999999995E-2</v>
      </c>
      <c r="E52" s="11">
        <v>34.5</v>
      </c>
    </row>
    <row r="53" spans="1:5" x14ac:dyDescent="0.3">
      <c r="A53" s="6" t="s">
        <v>47</v>
      </c>
      <c r="B53" s="9">
        <v>46142</v>
      </c>
      <c r="C53" s="10">
        <v>0.152</v>
      </c>
      <c r="D53" s="10">
        <v>0.14299999999999999</v>
      </c>
      <c r="E53" s="11">
        <v>68</v>
      </c>
    </row>
    <row r="54" spans="1:5" x14ac:dyDescent="0.3">
      <c r="A54" s="6" t="s">
        <v>47</v>
      </c>
      <c r="B54" s="9">
        <v>46173</v>
      </c>
      <c r="C54" s="10">
        <v>0.24299999999999999</v>
      </c>
      <c r="D54" s="10">
        <v>0.23</v>
      </c>
      <c r="E54" s="11">
        <v>111.6</v>
      </c>
    </row>
    <row r="55" spans="1:5" x14ac:dyDescent="0.3">
      <c r="A55" s="6" t="s">
        <v>47</v>
      </c>
      <c r="B55" s="9">
        <v>46203</v>
      </c>
      <c r="C55" s="10">
        <v>0.35199999999999998</v>
      </c>
      <c r="D55" s="10">
        <v>0.33100000000000002</v>
      </c>
      <c r="E55" s="11">
        <v>155.9</v>
      </c>
    </row>
    <row r="56" spans="1:5" x14ac:dyDescent="0.3">
      <c r="A56" s="6" t="s">
        <v>47</v>
      </c>
      <c r="B56" s="9">
        <v>46234</v>
      </c>
      <c r="C56" s="10">
        <v>0.46899999999999997</v>
      </c>
      <c r="D56" s="10">
        <v>0.45200000000000001</v>
      </c>
      <c r="E56" s="11">
        <v>217.1</v>
      </c>
    </row>
    <row r="57" spans="1:5" x14ac:dyDescent="0.3">
      <c r="A57" s="6" t="s">
        <v>47</v>
      </c>
      <c r="B57" s="9">
        <v>46265</v>
      </c>
      <c r="C57" s="10">
        <v>0.58399999999999996</v>
      </c>
      <c r="D57" s="10">
        <v>0.54900000000000004</v>
      </c>
      <c r="E57" s="11">
        <v>264.10000000000002</v>
      </c>
    </row>
    <row r="58" spans="1:5" x14ac:dyDescent="0.3">
      <c r="A58" s="6" t="s">
        <v>51</v>
      </c>
      <c r="B58" s="9">
        <v>46142</v>
      </c>
      <c r="C58" s="10">
        <v>0.02</v>
      </c>
      <c r="D58" s="10">
        <v>1.7999999999999999E-2</v>
      </c>
      <c r="E58" s="11">
        <v>5.8</v>
      </c>
    </row>
    <row r="59" spans="1:5" x14ac:dyDescent="0.3">
      <c r="A59" s="6" t="s">
        <v>51</v>
      </c>
      <c r="B59" s="9">
        <v>46173</v>
      </c>
      <c r="C59" s="10">
        <v>8.7999999999999995E-2</v>
      </c>
      <c r="D59" s="10">
        <v>0.08</v>
      </c>
      <c r="E59" s="11">
        <v>26.3</v>
      </c>
    </row>
    <row r="60" spans="1:5" x14ac:dyDescent="0.3">
      <c r="A60" s="6" t="s">
        <v>51</v>
      </c>
      <c r="B60" s="9">
        <v>46203</v>
      </c>
      <c r="C60" s="10">
        <v>0.2</v>
      </c>
      <c r="D60" s="10">
        <v>0.18099999999999999</v>
      </c>
      <c r="E60" s="11">
        <v>58.2</v>
      </c>
    </row>
    <row r="61" spans="1:5" x14ac:dyDescent="0.3">
      <c r="A61" s="6" t="s">
        <v>51</v>
      </c>
      <c r="B61" s="9">
        <v>46234</v>
      </c>
      <c r="C61" s="10">
        <v>0.34399999999999997</v>
      </c>
      <c r="D61" s="10">
        <v>0.309</v>
      </c>
      <c r="E61" s="11">
        <v>98.7</v>
      </c>
    </row>
    <row r="62" spans="1:5" x14ac:dyDescent="0.3">
      <c r="A62" s="6" t="s">
        <v>51</v>
      </c>
      <c r="B62" s="9">
        <v>46265</v>
      </c>
      <c r="C62" s="10">
        <v>0.5</v>
      </c>
      <c r="D62" s="10">
        <v>0.45400000000000001</v>
      </c>
      <c r="E62" s="11">
        <v>147.19999999999999</v>
      </c>
    </row>
    <row r="63" spans="1:5" x14ac:dyDescent="0.3">
      <c r="A63" s="6" t="s">
        <v>55</v>
      </c>
      <c r="B63" s="9">
        <v>46022</v>
      </c>
      <c r="C63" s="10">
        <v>3.1E-2</v>
      </c>
      <c r="D63" s="10">
        <v>3.1E-2</v>
      </c>
      <c r="E63" s="11">
        <v>4.5</v>
      </c>
    </row>
    <row r="64" spans="1:5" x14ac:dyDescent="0.3">
      <c r="A64" s="6" t="s">
        <v>55</v>
      </c>
      <c r="B64" s="9">
        <v>46053</v>
      </c>
      <c r="C64" s="10">
        <v>0.17899999999999999</v>
      </c>
      <c r="D64" s="10">
        <v>0.17799999999999999</v>
      </c>
      <c r="E64" s="11">
        <v>26.2</v>
      </c>
    </row>
    <row r="65" spans="1:5" x14ac:dyDescent="0.3">
      <c r="A65" s="6" t="s">
        <v>55</v>
      </c>
      <c r="B65" s="9">
        <v>46081</v>
      </c>
      <c r="C65" s="10">
        <v>0.44</v>
      </c>
      <c r="D65" s="10">
        <v>0.44600000000000001</v>
      </c>
      <c r="E65" s="11">
        <v>65.8</v>
      </c>
    </row>
    <row r="66" spans="1:5" x14ac:dyDescent="0.3">
      <c r="A66" s="6" t="s">
        <v>55</v>
      </c>
      <c r="B66" s="9">
        <v>46112</v>
      </c>
      <c r="C66" s="10">
        <v>0.71199999999999997</v>
      </c>
      <c r="D66" s="10">
        <v>0.71799999999999997</v>
      </c>
      <c r="E66" s="11">
        <v>105.8</v>
      </c>
    </row>
    <row r="67" spans="1:5" x14ac:dyDescent="0.3">
      <c r="A67" s="6" t="s">
        <v>55</v>
      </c>
      <c r="B67" s="9">
        <v>46142</v>
      </c>
      <c r="C67" s="10">
        <v>0.92400000000000004</v>
      </c>
      <c r="D67" s="10">
        <v>0.93100000000000005</v>
      </c>
      <c r="E67" s="11">
        <v>134</v>
      </c>
    </row>
    <row r="68" spans="1:5" x14ac:dyDescent="0.3">
      <c r="A68" s="6" t="s">
        <v>55</v>
      </c>
      <c r="B68" s="9">
        <v>46173</v>
      </c>
      <c r="C68" s="10">
        <v>1</v>
      </c>
      <c r="D68" s="10">
        <v>1</v>
      </c>
      <c r="E68" s="11">
        <v>144.69999999999999</v>
      </c>
    </row>
    <row r="69" spans="1:5" x14ac:dyDescent="0.3">
      <c r="A69" s="6" t="s">
        <v>55</v>
      </c>
      <c r="B69" s="9">
        <v>46203</v>
      </c>
      <c r="C69" s="10">
        <v>1</v>
      </c>
      <c r="D69" s="10">
        <v>1</v>
      </c>
      <c r="E69" s="11">
        <v>142.80000000000001</v>
      </c>
    </row>
    <row r="70" spans="1:5" x14ac:dyDescent="0.3">
      <c r="A70" s="6" t="s">
        <v>55</v>
      </c>
      <c r="B70" s="9">
        <v>46234</v>
      </c>
      <c r="C70" s="10">
        <v>1</v>
      </c>
      <c r="D70" s="10">
        <v>1</v>
      </c>
      <c r="E70" s="11">
        <v>144.1</v>
      </c>
    </row>
    <row r="71" spans="1:5" x14ac:dyDescent="0.3">
      <c r="A71" s="6" t="s">
        <v>55</v>
      </c>
      <c r="B71" s="9">
        <v>46265</v>
      </c>
      <c r="C71" s="10">
        <v>1</v>
      </c>
      <c r="D71" s="10">
        <v>1</v>
      </c>
      <c r="E71" s="11">
        <v>148.19999999999999</v>
      </c>
    </row>
    <row r="72" spans="1:5" x14ac:dyDescent="0.3">
      <c r="A72" s="6" t="s">
        <v>58</v>
      </c>
      <c r="B72" s="9">
        <v>46173</v>
      </c>
      <c r="C72" s="10">
        <v>5.2999999999999999E-2</v>
      </c>
      <c r="D72" s="10">
        <v>5.2999999999999999E-2</v>
      </c>
      <c r="E72" s="11">
        <v>4.9000000000000004</v>
      </c>
    </row>
    <row r="73" spans="1:5" x14ac:dyDescent="0.3">
      <c r="A73" s="6" t="s">
        <v>58</v>
      </c>
      <c r="B73" s="9">
        <v>46203</v>
      </c>
      <c r="C73" s="10">
        <v>0.21199999999999999</v>
      </c>
      <c r="D73" s="10">
        <v>0.219</v>
      </c>
      <c r="E73" s="11">
        <v>20.100000000000001</v>
      </c>
    </row>
    <row r="74" spans="1:5" x14ac:dyDescent="0.3">
      <c r="A74" s="6" t="s">
        <v>58</v>
      </c>
      <c r="B74" s="9">
        <v>46234</v>
      </c>
      <c r="C74" s="10">
        <v>0.44</v>
      </c>
      <c r="D74" s="10">
        <v>0.44700000000000001</v>
      </c>
      <c r="E74" s="11">
        <v>39.799999999999997</v>
      </c>
    </row>
    <row r="75" spans="1:5" x14ac:dyDescent="0.3">
      <c r="A75" s="6" t="s">
        <v>58</v>
      </c>
      <c r="B75" s="9">
        <v>46265</v>
      </c>
      <c r="C75" s="10">
        <v>0.67600000000000005</v>
      </c>
      <c r="D75" s="10">
        <v>0.68300000000000005</v>
      </c>
      <c r="E75" s="11">
        <v>60.8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9"/>
  <sheetViews>
    <sheetView topLeftCell="E1" workbookViewId="0">
      <pane ySplit="1" topLeftCell="A2" activePane="bottomLeft" state="frozen"/>
      <selection pane="bottomLeft" activeCell="N8" sqref="N8"/>
    </sheetView>
  </sheetViews>
  <sheetFormatPr baseColWidth="10" defaultColWidth="8.88671875" defaultRowHeight="14.4" x14ac:dyDescent="0.3"/>
  <cols>
    <col min="1" max="1" width="13" customWidth="1"/>
    <col min="2" max="2" width="10" customWidth="1"/>
    <col min="3" max="3" width="52" customWidth="1"/>
    <col min="4" max="4" width="15" customWidth="1"/>
    <col min="5" max="5" width="12" customWidth="1"/>
    <col min="6" max="6" width="24" customWidth="1"/>
    <col min="7" max="7" width="44" customWidth="1"/>
    <col min="8" max="8" width="10" customWidth="1"/>
    <col min="9" max="9" width="15" customWidth="1"/>
  </cols>
  <sheetData>
    <row r="1" spans="1:9" ht="31.95" customHeight="1" x14ac:dyDescent="0.3">
      <c r="A1" s="5" t="s">
        <v>63</v>
      </c>
      <c r="B1" s="5" t="s">
        <v>135</v>
      </c>
      <c r="C1" s="5" t="s">
        <v>136</v>
      </c>
      <c r="D1" s="5" t="s">
        <v>137</v>
      </c>
      <c r="E1" s="5" t="s">
        <v>138</v>
      </c>
      <c r="F1" s="5" t="s">
        <v>139</v>
      </c>
      <c r="G1" s="5" t="s">
        <v>140</v>
      </c>
      <c r="H1" s="5" t="s">
        <v>68</v>
      </c>
      <c r="I1" s="5" t="s">
        <v>141</v>
      </c>
    </row>
    <row r="2" spans="1:9" x14ac:dyDescent="0.3">
      <c r="A2" s="6" t="s">
        <v>32</v>
      </c>
      <c r="B2" s="6" t="s">
        <v>142</v>
      </c>
      <c r="C2" s="6" t="s">
        <v>143</v>
      </c>
      <c r="D2" s="12">
        <v>3</v>
      </c>
      <c r="E2" s="12">
        <v>3</v>
      </c>
      <c r="F2" s="6" t="s">
        <v>35</v>
      </c>
      <c r="G2" s="6" t="s">
        <v>144</v>
      </c>
      <c r="H2" s="6" t="s">
        <v>145</v>
      </c>
      <c r="I2" s="7">
        <v>46249</v>
      </c>
    </row>
    <row r="3" spans="1:9" x14ac:dyDescent="0.3">
      <c r="A3" s="6" t="s">
        <v>32</v>
      </c>
      <c r="B3" s="6" t="s">
        <v>146</v>
      </c>
      <c r="C3" s="6" t="s">
        <v>147</v>
      </c>
      <c r="D3" s="12">
        <v>2</v>
      </c>
      <c r="E3" s="12">
        <v>3</v>
      </c>
      <c r="F3" s="6" t="s">
        <v>60</v>
      </c>
      <c r="G3" s="6" t="s">
        <v>148</v>
      </c>
      <c r="H3" s="6" t="s">
        <v>145</v>
      </c>
      <c r="I3" s="7">
        <v>46280</v>
      </c>
    </row>
    <row r="4" spans="1:9" x14ac:dyDescent="0.3">
      <c r="A4" s="6" t="s">
        <v>43</v>
      </c>
      <c r="B4" s="6" t="s">
        <v>149</v>
      </c>
      <c r="C4" s="6" t="s">
        <v>150</v>
      </c>
      <c r="D4" s="12">
        <v>3</v>
      </c>
      <c r="E4" s="12">
        <v>3</v>
      </c>
      <c r="F4" s="6" t="s">
        <v>45</v>
      </c>
      <c r="G4" s="6" t="s">
        <v>151</v>
      </c>
      <c r="H4" s="6" t="s">
        <v>145</v>
      </c>
      <c r="I4" s="7">
        <v>46254</v>
      </c>
    </row>
    <row r="5" spans="1:9" x14ac:dyDescent="0.3">
      <c r="A5" s="6" t="s">
        <v>43</v>
      </c>
      <c r="B5" s="6" t="s">
        <v>152</v>
      </c>
      <c r="C5" s="6" t="s">
        <v>153</v>
      </c>
      <c r="D5" s="12">
        <v>2</v>
      </c>
      <c r="E5" s="12">
        <v>3</v>
      </c>
      <c r="F5" s="6" t="s">
        <v>45</v>
      </c>
      <c r="G5" s="6" t="s">
        <v>154</v>
      </c>
      <c r="H5" s="6" t="s">
        <v>145</v>
      </c>
      <c r="I5" s="7">
        <v>46270</v>
      </c>
    </row>
    <row r="6" spans="1:9" x14ac:dyDescent="0.3">
      <c r="A6" s="6" t="s">
        <v>43</v>
      </c>
      <c r="B6" s="6" t="s">
        <v>155</v>
      </c>
      <c r="C6" s="6" t="s">
        <v>156</v>
      </c>
      <c r="D6" s="12">
        <v>2</v>
      </c>
      <c r="E6" s="12">
        <v>2</v>
      </c>
      <c r="F6" s="6" t="s">
        <v>157</v>
      </c>
      <c r="G6" s="6" t="s">
        <v>158</v>
      </c>
      <c r="H6" s="6" t="s">
        <v>87</v>
      </c>
      <c r="I6" s="7">
        <v>46296</v>
      </c>
    </row>
    <row r="7" spans="1:9" x14ac:dyDescent="0.3">
      <c r="A7" s="6" t="s">
        <v>37</v>
      </c>
      <c r="B7" s="6" t="s">
        <v>159</v>
      </c>
      <c r="C7" s="6" t="s">
        <v>160</v>
      </c>
      <c r="D7" s="12">
        <v>3</v>
      </c>
      <c r="E7" s="12">
        <v>2</v>
      </c>
      <c r="F7" s="6" t="s">
        <v>161</v>
      </c>
      <c r="G7" s="6" t="s">
        <v>162</v>
      </c>
      <c r="H7" s="6" t="s">
        <v>145</v>
      </c>
      <c r="I7" s="7">
        <v>46259</v>
      </c>
    </row>
    <row r="8" spans="1:9" x14ac:dyDescent="0.3">
      <c r="A8" s="6" t="s">
        <v>37</v>
      </c>
      <c r="B8" s="6" t="s">
        <v>163</v>
      </c>
      <c r="C8" s="6" t="s">
        <v>164</v>
      </c>
      <c r="D8" s="12">
        <v>2</v>
      </c>
      <c r="E8" s="12">
        <v>2</v>
      </c>
      <c r="F8" s="6" t="s">
        <v>53</v>
      </c>
      <c r="G8" s="6" t="s">
        <v>165</v>
      </c>
      <c r="H8" s="6" t="s">
        <v>87</v>
      </c>
      <c r="I8" s="7">
        <v>46310</v>
      </c>
    </row>
    <row r="9" spans="1:9" x14ac:dyDescent="0.3">
      <c r="A9" s="6" t="s">
        <v>20</v>
      </c>
      <c r="B9" s="6" t="s">
        <v>166</v>
      </c>
      <c r="C9" s="6" t="s">
        <v>167</v>
      </c>
      <c r="D9" s="12">
        <v>2</v>
      </c>
      <c r="E9" s="12">
        <v>2</v>
      </c>
      <c r="F9" s="6" t="s">
        <v>23</v>
      </c>
      <c r="G9" s="6" t="s">
        <v>168</v>
      </c>
      <c r="H9" s="6" t="s">
        <v>87</v>
      </c>
      <c r="I9" s="7">
        <v>46275</v>
      </c>
    </row>
    <row r="10" spans="1:9" x14ac:dyDescent="0.3">
      <c r="A10" s="6" t="s">
        <v>26</v>
      </c>
      <c r="B10" s="6" t="s">
        <v>169</v>
      </c>
      <c r="C10" s="6" t="s">
        <v>170</v>
      </c>
      <c r="D10" s="12">
        <v>1</v>
      </c>
      <c r="E10" s="12">
        <v>3</v>
      </c>
      <c r="F10" s="6" t="s">
        <v>45</v>
      </c>
      <c r="G10" s="6" t="s">
        <v>171</v>
      </c>
      <c r="H10" s="6" t="s">
        <v>145</v>
      </c>
      <c r="I10" s="7">
        <v>46295</v>
      </c>
    </row>
    <row r="11" spans="1:9" x14ac:dyDescent="0.3">
      <c r="A11" s="6" t="s">
        <v>40</v>
      </c>
      <c r="B11" s="6" t="s">
        <v>172</v>
      </c>
      <c r="C11" s="6" t="s">
        <v>173</v>
      </c>
      <c r="D11" s="12">
        <v>2</v>
      </c>
      <c r="E11" s="12">
        <v>1</v>
      </c>
      <c r="F11" s="6" t="s">
        <v>29</v>
      </c>
      <c r="G11" s="6" t="s">
        <v>174</v>
      </c>
      <c r="H11" s="6" t="s">
        <v>87</v>
      </c>
      <c r="I11" s="7">
        <v>46285</v>
      </c>
    </row>
    <row r="12" spans="1:9" x14ac:dyDescent="0.3">
      <c r="A12" s="6" t="s">
        <v>47</v>
      </c>
      <c r="B12" s="6" t="s">
        <v>175</v>
      </c>
      <c r="C12" s="6" t="s">
        <v>176</v>
      </c>
      <c r="D12" s="12">
        <v>2</v>
      </c>
      <c r="E12" s="12">
        <v>2</v>
      </c>
      <c r="F12" s="6" t="s">
        <v>45</v>
      </c>
      <c r="G12" s="6" t="s">
        <v>177</v>
      </c>
      <c r="H12" s="6" t="s">
        <v>87</v>
      </c>
      <c r="I12" s="7">
        <v>46327</v>
      </c>
    </row>
    <row r="13" spans="1:9" x14ac:dyDescent="0.3">
      <c r="A13" s="6" t="s">
        <v>47</v>
      </c>
      <c r="B13" s="6" t="s">
        <v>178</v>
      </c>
      <c r="C13" s="6" t="s">
        <v>179</v>
      </c>
      <c r="D13" s="12">
        <v>1</v>
      </c>
      <c r="E13" s="12">
        <v>3</v>
      </c>
      <c r="F13" s="6" t="s">
        <v>45</v>
      </c>
      <c r="G13" s="6" t="s">
        <v>180</v>
      </c>
      <c r="H13" s="6" t="s">
        <v>145</v>
      </c>
      <c r="I13" s="7">
        <v>46371</v>
      </c>
    </row>
    <row r="14" spans="1:9" x14ac:dyDescent="0.3">
      <c r="A14" s="6" t="s">
        <v>51</v>
      </c>
      <c r="B14" s="6" t="s">
        <v>181</v>
      </c>
      <c r="C14" s="6" t="s">
        <v>182</v>
      </c>
      <c r="D14" s="12">
        <v>3</v>
      </c>
      <c r="E14" s="12">
        <v>2</v>
      </c>
      <c r="F14" s="6" t="s">
        <v>53</v>
      </c>
      <c r="G14" s="6" t="s">
        <v>183</v>
      </c>
      <c r="H14" s="6" t="s">
        <v>145</v>
      </c>
      <c r="I14" s="7">
        <v>46280</v>
      </c>
    </row>
    <row r="15" spans="1:9" x14ac:dyDescent="0.3">
      <c r="A15" s="6" t="s">
        <v>51</v>
      </c>
      <c r="B15" s="6" t="s">
        <v>184</v>
      </c>
      <c r="C15" s="6" t="s">
        <v>185</v>
      </c>
      <c r="D15" s="12">
        <v>2</v>
      </c>
      <c r="E15" s="12">
        <v>2</v>
      </c>
      <c r="F15" s="6" t="s">
        <v>53</v>
      </c>
      <c r="G15" s="6" t="s">
        <v>186</v>
      </c>
      <c r="H15" s="6" t="s">
        <v>145</v>
      </c>
      <c r="I15" s="7">
        <v>46325</v>
      </c>
    </row>
    <row r="16" spans="1:9" x14ac:dyDescent="0.3">
      <c r="A16" s="6" t="s">
        <v>55</v>
      </c>
      <c r="B16" s="6" t="s">
        <v>187</v>
      </c>
      <c r="C16" s="6" t="s">
        <v>188</v>
      </c>
      <c r="D16" s="12">
        <v>2</v>
      </c>
      <c r="E16" s="12">
        <v>2</v>
      </c>
      <c r="F16" s="6" t="s">
        <v>23</v>
      </c>
      <c r="G16" s="6" t="s">
        <v>189</v>
      </c>
      <c r="H16" s="6" t="s">
        <v>190</v>
      </c>
      <c r="I16" s="7">
        <v>46244</v>
      </c>
    </row>
    <row r="17" spans="1:9" x14ac:dyDescent="0.3">
      <c r="A17" s="6" t="s">
        <v>58</v>
      </c>
      <c r="B17" s="6" t="s">
        <v>191</v>
      </c>
      <c r="C17" s="6" t="s">
        <v>192</v>
      </c>
      <c r="D17" s="12">
        <v>2</v>
      </c>
      <c r="E17" s="12">
        <v>2</v>
      </c>
      <c r="F17" s="6" t="s">
        <v>60</v>
      </c>
      <c r="G17" s="6" t="s">
        <v>193</v>
      </c>
      <c r="H17" s="6" t="s">
        <v>145</v>
      </c>
      <c r="I17" s="7">
        <v>46295</v>
      </c>
    </row>
    <row r="18" spans="1:9" x14ac:dyDescent="0.3">
      <c r="A18" s="6" t="s">
        <v>20</v>
      </c>
      <c r="B18" s="6" t="s">
        <v>194</v>
      </c>
      <c r="C18" s="6" t="s">
        <v>195</v>
      </c>
      <c r="D18" s="12">
        <v>2</v>
      </c>
      <c r="E18" s="12">
        <v>3</v>
      </c>
      <c r="F18" s="6" t="s">
        <v>23</v>
      </c>
      <c r="G18" s="6" t="s">
        <v>196</v>
      </c>
      <c r="H18" s="6" t="s">
        <v>145</v>
      </c>
      <c r="I18" s="7">
        <v>46266</v>
      </c>
    </row>
    <row r="19" spans="1:9" x14ac:dyDescent="0.3">
      <c r="A19" s="6" t="s">
        <v>43</v>
      </c>
      <c r="B19" s="6" t="s">
        <v>197</v>
      </c>
      <c r="C19" s="6" t="s">
        <v>198</v>
      </c>
      <c r="D19" s="12">
        <v>3</v>
      </c>
      <c r="E19" s="12">
        <v>1</v>
      </c>
      <c r="F19" s="6" t="s">
        <v>45</v>
      </c>
      <c r="G19" s="6" t="s">
        <v>199</v>
      </c>
      <c r="H19" s="6" t="s">
        <v>145</v>
      </c>
      <c r="I19" s="7">
        <v>46327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>
      <pane ySplit="1" topLeftCell="A2" activePane="bottomLeft" state="frozen"/>
      <selection pane="bottomLeft" activeCell="K9" sqref="K9"/>
    </sheetView>
  </sheetViews>
  <sheetFormatPr baseColWidth="10" defaultColWidth="8.88671875" defaultRowHeight="14.4" x14ac:dyDescent="0.3"/>
  <cols>
    <col min="1" max="1" width="13" customWidth="1"/>
    <col min="2" max="2" width="30" customWidth="1"/>
    <col min="3" max="3" width="34" customWidth="1"/>
    <col min="4" max="4" width="10" customWidth="1"/>
    <col min="5" max="6" width="12" customWidth="1"/>
  </cols>
  <sheetData>
    <row r="1" spans="1:6" ht="31.95" customHeight="1" x14ac:dyDescent="0.3">
      <c r="A1" s="5" t="s">
        <v>63</v>
      </c>
      <c r="B1" s="5" t="s">
        <v>12</v>
      </c>
      <c r="C1" s="5" t="s">
        <v>200</v>
      </c>
      <c r="D1" s="5" t="s">
        <v>201</v>
      </c>
      <c r="E1" s="5" t="s">
        <v>202</v>
      </c>
      <c r="F1" s="5" t="s">
        <v>203</v>
      </c>
    </row>
    <row r="2" spans="1:6" x14ac:dyDescent="0.3">
      <c r="A2" s="6" t="s">
        <v>55</v>
      </c>
      <c r="B2" s="6" t="s">
        <v>56</v>
      </c>
      <c r="C2" s="6" t="s">
        <v>204</v>
      </c>
      <c r="D2" s="9">
        <v>46203</v>
      </c>
      <c r="E2" s="8">
        <v>12000</v>
      </c>
      <c r="F2" s="8">
        <v>8200</v>
      </c>
    </row>
    <row r="3" spans="1:6" x14ac:dyDescent="0.3">
      <c r="A3" s="6" t="s">
        <v>55</v>
      </c>
      <c r="B3" s="6" t="s">
        <v>56</v>
      </c>
      <c r="C3" s="6" t="s">
        <v>204</v>
      </c>
      <c r="D3" s="9">
        <v>46234</v>
      </c>
      <c r="E3" s="8">
        <v>12000</v>
      </c>
      <c r="F3" s="8">
        <v>10900</v>
      </c>
    </row>
    <row r="4" spans="1:6" x14ac:dyDescent="0.3">
      <c r="A4" s="6" t="s">
        <v>55</v>
      </c>
      <c r="B4" s="6" t="s">
        <v>56</v>
      </c>
      <c r="C4" s="6" t="s">
        <v>204</v>
      </c>
      <c r="D4" s="9">
        <v>46265</v>
      </c>
      <c r="E4" s="8">
        <v>12000</v>
      </c>
      <c r="F4" s="8">
        <v>12600</v>
      </c>
    </row>
    <row r="5" spans="1:6" x14ac:dyDescent="0.3">
      <c r="A5" s="6" t="s">
        <v>55</v>
      </c>
      <c r="B5" s="6" t="s">
        <v>56</v>
      </c>
      <c r="C5" s="6" t="s">
        <v>205</v>
      </c>
      <c r="D5" s="9">
        <v>46203</v>
      </c>
      <c r="E5" s="13">
        <v>0.85</v>
      </c>
      <c r="F5" s="13">
        <v>0.71</v>
      </c>
    </row>
    <row r="6" spans="1:6" x14ac:dyDescent="0.3">
      <c r="A6" s="6" t="s">
        <v>55</v>
      </c>
      <c r="B6" s="6" t="s">
        <v>56</v>
      </c>
      <c r="C6" s="6" t="s">
        <v>205</v>
      </c>
      <c r="D6" s="9">
        <v>46234</v>
      </c>
      <c r="E6" s="13">
        <v>0.85</v>
      </c>
      <c r="F6" s="13">
        <v>0.79</v>
      </c>
    </row>
    <row r="7" spans="1:6" x14ac:dyDescent="0.3">
      <c r="A7" s="6" t="s">
        <v>55</v>
      </c>
      <c r="B7" s="6" t="s">
        <v>56</v>
      </c>
      <c r="C7" s="6" t="s">
        <v>205</v>
      </c>
      <c r="D7" s="9">
        <v>46265</v>
      </c>
      <c r="E7" s="13">
        <v>0.85</v>
      </c>
      <c r="F7" s="13">
        <v>0.83</v>
      </c>
    </row>
    <row r="8" spans="1:6" x14ac:dyDescent="0.3">
      <c r="A8" s="6" t="s">
        <v>20</v>
      </c>
      <c r="B8" s="6" t="s">
        <v>21</v>
      </c>
      <c r="C8" s="6" t="s">
        <v>206</v>
      </c>
      <c r="D8" s="9">
        <v>46265</v>
      </c>
      <c r="E8" s="8">
        <v>150000</v>
      </c>
      <c r="F8" s="8">
        <v>118000</v>
      </c>
    </row>
    <row r="9" spans="1:6" x14ac:dyDescent="0.3">
      <c r="A9" s="6" t="s">
        <v>20</v>
      </c>
      <c r="B9" s="6" t="s">
        <v>21</v>
      </c>
      <c r="C9" s="6" t="s">
        <v>207</v>
      </c>
      <c r="D9" s="9">
        <v>46265</v>
      </c>
      <c r="E9" s="14">
        <v>4.3</v>
      </c>
      <c r="F9" s="14">
        <v>3.9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2E4E-3320-4085-8E59-8E1A34EFF459}">
  <dimension ref="A1:L13"/>
  <sheetViews>
    <sheetView topLeftCell="F1" workbookViewId="0">
      <selection activeCell="K27" sqref="K27"/>
    </sheetView>
  </sheetViews>
  <sheetFormatPr baseColWidth="10" defaultRowHeight="14.4" x14ac:dyDescent="0.3"/>
  <cols>
    <col min="1" max="1" width="15.44140625" bestFit="1" customWidth="1"/>
    <col min="2" max="2" width="17.109375" bestFit="1" customWidth="1"/>
    <col min="3" max="3" width="23.88671875" bestFit="1" customWidth="1"/>
    <col min="4" max="4" width="10.44140625" customWidth="1"/>
    <col min="5" max="5" width="23" bestFit="1" customWidth="1"/>
    <col min="6" max="6" width="22.44140625" bestFit="1" customWidth="1"/>
    <col min="7" max="7" width="14" bestFit="1" customWidth="1"/>
    <col min="8" max="8" width="33.44140625" bestFit="1" customWidth="1"/>
    <col min="9" max="9" width="33.33203125" bestFit="1" customWidth="1"/>
    <col min="10" max="10" width="26.6640625" bestFit="1" customWidth="1"/>
    <col min="11" max="11" width="23" bestFit="1" customWidth="1"/>
  </cols>
  <sheetData>
    <row r="1" spans="1:12" x14ac:dyDescent="0.3">
      <c r="A1" s="19">
        <v>46265</v>
      </c>
    </row>
    <row r="3" spans="1:12" x14ac:dyDescent="0.3">
      <c r="A3" s="16" t="s">
        <v>63</v>
      </c>
      <c r="B3" s="16" t="s">
        <v>208</v>
      </c>
      <c r="C3" s="16" t="s">
        <v>209</v>
      </c>
      <c r="D3" s="16" t="s">
        <v>219</v>
      </c>
      <c r="E3" s="16" t="s">
        <v>210</v>
      </c>
      <c r="F3" s="16" t="s">
        <v>211</v>
      </c>
      <c r="G3" s="16" t="s">
        <v>212</v>
      </c>
      <c r="H3" s="16" t="s">
        <v>215</v>
      </c>
      <c r="I3" s="16" t="s">
        <v>216</v>
      </c>
      <c r="J3" s="16" t="s">
        <v>217</v>
      </c>
      <c r="K3" s="16" t="s">
        <v>218</v>
      </c>
      <c r="L3" s="16" t="s">
        <v>68</v>
      </c>
    </row>
    <row r="4" spans="1:12" x14ac:dyDescent="0.3">
      <c r="A4" t="s">
        <v>20</v>
      </c>
      <c r="B4" s="15">
        <f>SUMIFS(Suivi_mensuel!$C:$C,Suivi_mensuel!$A:$A,A4,Suivi_mensuel!$B:$B,$A$1)</f>
        <v>1</v>
      </c>
      <c r="C4" s="15">
        <f>SUMIFS(Suivi_mensuel!$D:$D,Suivi_mensuel!$A:$A,A4,Suivi_mensuel!$B:$B,$A$1)</f>
        <v>0.96499999999999997</v>
      </c>
      <c r="D4" s="17">
        <f>+INDEX(Projets!$H:$H,MATCH(A4,Projets!$A:$A,0))</f>
        <v>420</v>
      </c>
      <c r="E4" s="17">
        <f t="shared" ref="E4:E13" si="0">D4*B4</f>
        <v>420</v>
      </c>
      <c r="F4" s="17">
        <f t="shared" ref="F4:F13" si="1">D4*C4</f>
        <v>405.3</v>
      </c>
      <c r="G4" s="17">
        <f>SUMIFS(Suivi_mensuel!$E:$E,Suivi_mensuel!$A:$A,A4,Suivi_mensuel!$B:$B,$A$1)</f>
        <v>416.5</v>
      </c>
      <c r="H4" s="18">
        <f t="shared" ref="H4:H13" si="2">+F4/E4</f>
        <v>0.96500000000000008</v>
      </c>
      <c r="I4" s="18">
        <f t="shared" ref="I4:I13" si="3">+F4/G4</f>
        <v>0.97310924369747898</v>
      </c>
      <c r="J4" s="17">
        <f t="shared" ref="J4:J13" si="4">D4/I4</f>
        <v>431.6062176165803</v>
      </c>
      <c r="K4" s="17">
        <f t="shared" ref="K4:K13" si="5">D4-J4</f>
        <v>-11.606217616580295</v>
      </c>
      <c r="L4" t="str">
        <f t="shared" ref="L4:L13" si="6">+IF(OR(H4&lt;0.85,I4&lt;0.85),"Rouge",IF(OR(H4&lt;0.95,I4&lt;0.95),"Orange","Vert"))</f>
        <v>Vert</v>
      </c>
    </row>
    <row r="5" spans="1:12" x14ac:dyDescent="0.3">
      <c r="A5" t="s">
        <v>26</v>
      </c>
      <c r="B5" s="15">
        <f>SUMIFS(Suivi_mensuel!$C:$C,Suivi_mensuel!$A:$A,A5,Suivi_mensuel!$B:$B,$A$1)</f>
        <v>0.90200000000000002</v>
      </c>
      <c r="C5" s="15">
        <f>SUMIFS(Suivi_mensuel!$D:$D,Suivi_mensuel!$A:$A,A5,Suivi_mensuel!$B:$B,$A$1)</f>
        <v>0.90700000000000003</v>
      </c>
      <c r="D5" s="17">
        <f>+INDEX(Projets!$H:$H,MATCH(A5,Projets!$A:$A,0))</f>
        <v>260</v>
      </c>
      <c r="E5" s="17">
        <f t="shared" si="0"/>
        <v>234.52</v>
      </c>
      <c r="F5" s="17">
        <f t="shared" si="1"/>
        <v>235.82</v>
      </c>
      <c r="G5" s="17">
        <f>SUMIFS(Suivi_mensuel!$E:$E,Suivi_mensuel!$A:$A,A5,Suivi_mensuel!$B:$B,$A$1)</f>
        <v>226.6</v>
      </c>
      <c r="H5" s="18">
        <f t="shared" si="2"/>
        <v>1.0055432372505542</v>
      </c>
      <c r="I5" s="18">
        <f t="shared" si="3"/>
        <v>1.0406884377758163</v>
      </c>
      <c r="J5" s="17">
        <f t="shared" si="4"/>
        <v>249.83461962513783</v>
      </c>
      <c r="K5" s="17">
        <f t="shared" si="5"/>
        <v>10.165380374862167</v>
      </c>
      <c r="L5" t="str">
        <f t="shared" si="6"/>
        <v>Vert</v>
      </c>
    </row>
    <row r="6" spans="1:12" x14ac:dyDescent="0.3">
      <c r="A6" t="s">
        <v>32</v>
      </c>
      <c r="B6" s="15">
        <f>SUMIFS(Suivi_mensuel!$C:$C,Suivi_mensuel!$A:$A,A6,Suivi_mensuel!$B:$B,$A$1)</f>
        <v>1</v>
      </c>
      <c r="C6" s="15">
        <f>SUMIFS(Suivi_mensuel!$D:$D,Suivi_mensuel!$A:$A,A6,Suivi_mensuel!$B:$B,$A$1)</f>
        <v>0.71799999999999997</v>
      </c>
      <c r="D6" s="17">
        <f>+INDEX(Projets!$H:$H,MATCH(A6,Projets!$A:$A,0))</f>
        <v>180</v>
      </c>
      <c r="E6" s="17">
        <f t="shared" si="0"/>
        <v>180</v>
      </c>
      <c r="F6" s="17">
        <f t="shared" si="1"/>
        <v>129.24</v>
      </c>
      <c r="G6" s="17">
        <f>SUMIFS(Suivi_mensuel!$E:$E,Suivi_mensuel!$A:$A,A6,Suivi_mensuel!$B:$B,$A$1)</f>
        <v>160.69999999999999</v>
      </c>
      <c r="H6" s="18">
        <f t="shared" si="2"/>
        <v>0.71800000000000008</v>
      </c>
      <c r="I6" s="18">
        <f t="shared" si="3"/>
        <v>0.80423148724331062</v>
      </c>
      <c r="J6" s="17">
        <f t="shared" si="4"/>
        <v>223.8161559888579</v>
      </c>
      <c r="K6" s="17">
        <f t="shared" si="5"/>
        <v>-43.816155988857901</v>
      </c>
      <c r="L6" t="str">
        <f t="shared" si="6"/>
        <v>Rouge</v>
      </c>
    </row>
    <row r="7" spans="1:12" x14ac:dyDescent="0.3">
      <c r="A7" t="s">
        <v>37</v>
      </c>
      <c r="B7" s="15">
        <f>SUMIFS(Suivi_mensuel!$C:$C,Suivi_mensuel!$A:$A,A7,Suivi_mensuel!$B:$B,$A$1)</f>
        <v>0.79100000000000004</v>
      </c>
      <c r="C7" s="15">
        <f>SUMIFS(Suivi_mensuel!$D:$D,Suivi_mensuel!$A:$A,A7,Suivi_mensuel!$B:$B,$A$1)</f>
        <v>0.63400000000000001</v>
      </c>
      <c r="D7" s="17">
        <f>+INDEX(Projets!$H:$H,MATCH(A7,Projets!$A:$A,0))</f>
        <v>350</v>
      </c>
      <c r="E7" s="17">
        <f t="shared" si="0"/>
        <v>276.85000000000002</v>
      </c>
      <c r="F7" s="17">
        <f t="shared" si="1"/>
        <v>221.9</v>
      </c>
      <c r="G7" s="17">
        <f>SUMIFS(Suivi_mensuel!$E:$E,Suivi_mensuel!$A:$A,A7,Suivi_mensuel!$B:$B,$A$1)</f>
        <v>237.1</v>
      </c>
      <c r="H7" s="18">
        <f t="shared" si="2"/>
        <v>0.80151706700379266</v>
      </c>
      <c r="I7" s="18">
        <f t="shared" si="3"/>
        <v>0.93589202867988197</v>
      </c>
      <c r="J7" s="17">
        <f t="shared" si="4"/>
        <v>373.97476340694004</v>
      </c>
      <c r="K7" s="17">
        <f t="shared" si="5"/>
        <v>-23.974763406940042</v>
      </c>
      <c r="L7" t="str">
        <f t="shared" si="6"/>
        <v>Rouge</v>
      </c>
    </row>
    <row r="8" spans="1:12" x14ac:dyDescent="0.3">
      <c r="A8" t="s">
        <v>40</v>
      </c>
      <c r="B8" s="15">
        <f>SUMIFS(Suivi_mensuel!$C:$C,Suivi_mensuel!$A:$A,A8,Suivi_mensuel!$B:$B,$A$1)</f>
        <v>0.94599999999999995</v>
      </c>
      <c r="C8" s="15">
        <f>SUMIFS(Suivi_mensuel!$D:$D,Suivi_mensuel!$A:$A,A8,Suivi_mensuel!$B:$B,$A$1)</f>
        <v>0.97199999999999998</v>
      </c>
      <c r="D8" s="17">
        <f>+INDEX(Projets!$H:$H,MATCH(A8,Projets!$A:$A,0))</f>
        <v>120</v>
      </c>
      <c r="E8" s="17">
        <f t="shared" si="0"/>
        <v>113.52</v>
      </c>
      <c r="F8" s="17">
        <f t="shared" si="1"/>
        <v>116.64</v>
      </c>
      <c r="G8" s="17">
        <f>SUMIFS(Suivi_mensuel!$E:$E,Suivi_mensuel!$A:$A,A8,Suivi_mensuel!$B:$B,$A$1)</f>
        <v>109</v>
      </c>
      <c r="H8" s="18">
        <f t="shared" si="2"/>
        <v>1.0274841437632136</v>
      </c>
      <c r="I8" s="18">
        <f t="shared" si="3"/>
        <v>1.070091743119266</v>
      </c>
      <c r="J8" s="17">
        <f t="shared" si="4"/>
        <v>112.13991769547326</v>
      </c>
      <c r="K8" s="17">
        <f t="shared" si="5"/>
        <v>7.8600823045267418</v>
      </c>
      <c r="L8" t="str">
        <f t="shared" si="6"/>
        <v>Vert</v>
      </c>
    </row>
    <row r="9" spans="1:12" x14ac:dyDescent="0.3">
      <c r="A9" t="s">
        <v>43</v>
      </c>
      <c r="B9" s="15">
        <f>SUMIFS(Suivi_mensuel!$C:$C,Suivi_mensuel!$A:$A,A9,Suivi_mensuel!$B:$B,$A$1)</f>
        <v>0.877</v>
      </c>
      <c r="C9" s="15">
        <f>SUMIFS(Suivi_mensuel!$D:$D,Suivi_mensuel!$A:$A,A9,Suivi_mensuel!$B:$B,$A$1)</f>
        <v>0.68100000000000005</v>
      </c>
      <c r="D9" s="17">
        <f>+INDEX(Projets!$H:$H,MATCH(A9,Projets!$A:$A,0))</f>
        <v>510</v>
      </c>
      <c r="E9" s="17">
        <f t="shared" si="0"/>
        <v>447.27</v>
      </c>
      <c r="F9" s="17">
        <f t="shared" si="1"/>
        <v>347.31</v>
      </c>
      <c r="G9" s="17">
        <f>SUMIFS(Suivi_mensuel!$E:$E,Suivi_mensuel!$A:$A,A9,Suivi_mensuel!$B:$B,$A$1)</f>
        <v>407.8</v>
      </c>
      <c r="H9" s="18">
        <f t="shared" si="2"/>
        <v>0.77651083238312435</v>
      </c>
      <c r="I9" s="18">
        <f t="shared" si="3"/>
        <v>0.85166748406081416</v>
      </c>
      <c r="J9" s="17">
        <f t="shared" si="4"/>
        <v>598.82525697503672</v>
      </c>
      <c r="K9" s="17">
        <f t="shared" si="5"/>
        <v>-88.825256975036723</v>
      </c>
      <c r="L9" t="str">
        <f t="shared" si="6"/>
        <v>Rouge</v>
      </c>
    </row>
    <row r="10" spans="1:12" x14ac:dyDescent="0.3">
      <c r="A10" t="s">
        <v>47</v>
      </c>
      <c r="B10" s="15">
        <f>SUMIFS(Suivi_mensuel!$C:$C,Suivi_mensuel!$A:$A,A10,Suivi_mensuel!$B:$B,$A$1)</f>
        <v>0.58399999999999996</v>
      </c>
      <c r="C10" s="15">
        <f>SUMIFS(Suivi_mensuel!$D:$D,Suivi_mensuel!$A:$A,A10,Suivi_mensuel!$B:$B,$A$1)</f>
        <v>0.54900000000000004</v>
      </c>
      <c r="D10" s="17">
        <f>+INDEX(Projets!$H:$H,MATCH(A10,Projets!$A:$A,0))</f>
        <v>480</v>
      </c>
      <c r="E10" s="17">
        <f t="shared" si="0"/>
        <v>280.32</v>
      </c>
      <c r="F10" s="17">
        <f t="shared" si="1"/>
        <v>263.52000000000004</v>
      </c>
      <c r="G10" s="17">
        <f>SUMIFS(Suivi_mensuel!$E:$E,Suivi_mensuel!$A:$A,A10,Suivi_mensuel!$B:$B,$A$1)</f>
        <v>264.10000000000002</v>
      </c>
      <c r="H10" s="18">
        <f t="shared" si="2"/>
        <v>0.94006849315068508</v>
      </c>
      <c r="I10" s="18">
        <f t="shared" si="3"/>
        <v>0.99780386217341921</v>
      </c>
      <c r="J10" s="17">
        <f t="shared" si="4"/>
        <v>481.05646630236794</v>
      </c>
      <c r="K10" s="17">
        <f t="shared" si="5"/>
        <v>-1.0564663023679373</v>
      </c>
      <c r="L10" t="str">
        <f t="shared" si="6"/>
        <v>Orange</v>
      </c>
    </row>
    <row r="11" spans="1:12" x14ac:dyDescent="0.3">
      <c r="A11" t="s">
        <v>51</v>
      </c>
      <c r="B11" s="15">
        <f>SUMIFS(Suivi_mensuel!$C:$C,Suivi_mensuel!$A:$A,A11,Suivi_mensuel!$B:$B,$A$1)</f>
        <v>0.5</v>
      </c>
      <c r="C11" s="15">
        <f>SUMIFS(Suivi_mensuel!$D:$D,Suivi_mensuel!$A:$A,A11,Suivi_mensuel!$B:$B,$A$1)</f>
        <v>0.45400000000000001</v>
      </c>
      <c r="D11" s="17">
        <f>+INDEX(Projets!$H:$H,MATCH(A11,Projets!$A:$A,0))</f>
        <v>300</v>
      </c>
      <c r="E11" s="17">
        <f t="shared" si="0"/>
        <v>150</v>
      </c>
      <c r="F11" s="17">
        <f t="shared" si="1"/>
        <v>136.20000000000002</v>
      </c>
      <c r="G11" s="17">
        <f>SUMIFS(Suivi_mensuel!$E:$E,Suivi_mensuel!$A:$A,A11,Suivi_mensuel!$B:$B,$A$1)</f>
        <v>147.19999999999999</v>
      </c>
      <c r="H11" s="18">
        <f t="shared" si="2"/>
        <v>0.90800000000000014</v>
      </c>
      <c r="I11" s="18">
        <f t="shared" si="3"/>
        <v>0.92527173913043492</v>
      </c>
      <c r="J11" s="17">
        <f t="shared" si="4"/>
        <v>324.22907488986777</v>
      </c>
      <c r="K11" s="17">
        <f t="shared" si="5"/>
        <v>-24.229074889867775</v>
      </c>
      <c r="L11" t="str">
        <f t="shared" si="6"/>
        <v>Orange</v>
      </c>
    </row>
    <row r="12" spans="1:12" x14ac:dyDescent="0.3">
      <c r="A12" t="s">
        <v>55</v>
      </c>
      <c r="B12" s="15">
        <f>SUMIFS(Suivi_mensuel!$C:$C,Suivi_mensuel!$A:$A,A12,Suivi_mensuel!$B:$B,$A$1)</f>
        <v>1</v>
      </c>
      <c r="C12" s="15">
        <f>SUMIFS(Suivi_mensuel!$D:$D,Suivi_mensuel!$A:$A,A12,Suivi_mensuel!$B:$B,$A$1)</f>
        <v>1</v>
      </c>
      <c r="D12" s="17">
        <f>+INDEX(Projets!$H:$H,MATCH(A12,Projets!$A:$A,0))</f>
        <v>150</v>
      </c>
      <c r="E12" s="17">
        <f t="shared" si="0"/>
        <v>150</v>
      </c>
      <c r="F12" s="17">
        <f t="shared" si="1"/>
        <v>150</v>
      </c>
      <c r="G12" s="17">
        <f>SUMIFS(Suivi_mensuel!$E:$E,Suivi_mensuel!$A:$A,A12,Suivi_mensuel!$B:$B,$A$1)</f>
        <v>148.19999999999999</v>
      </c>
      <c r="H12" s="18">
        <f t="shared" si="2"/>
        <v>1</v>
      </c>
      <c r="I12" s="18">
        <f t="shared" si="3"/>
        <v>1.0121457489878543</v>
      </c>
      <c r="J12" s="17">
        <f t="shared" si="4"/>
        <v>148.19999999999999</v>
      </c>
      <c r="K12" s="17">
        <f t="shared" si="5"/>
        <v>1.8000000000000114</v>
      </c>
      <c r="L12" t="str">
        <f t="shared" si="6"/>
        <v>Vert</v>
      </c>
    </row>
    <row r="13" spans="1:12" x14ac:dyDescent="0.3">
      <c r="A13" t="s">
        <v>58</v>
      </c>
      <c r="B13" s="15">
        <f>SUMIFS(Suivi_mensuel!$C:$C,Suivi_mensuel!$A:$A,A13,Suivi_mensuel!$B:$B,$A$1)</f>
        <v>0.67600000000000005</v>
      </c>
      <c r="C13" s="15">
        <f>SUMIFS(Suivi_mensuel!$D:$D,Suivi_mensuel!$A:$A,A13,Suivi_mensuel!$B:$B,$A$1)</f>
        <v>0.68300000000000005</v>
      </c>
      <c r="D13" s="17">
        <f>+INDEX(Projets!$H:$H,MATCH(A13,Projets!$A:$A,0))</f>
        <v>90</v>
      </c>
      <c r="E13" s="17">
        <f t="shared" si="0"/>
        <v>60.84</v>
      </c>
      <c r="F13" s="17">
        <f t="shared" si="1"/>
        <v>61.470000000000006</v>
      </c>
      <c r="G13" s="17">
        <f>SUMIFS(Suivi_mensuel!$E:$E,Suivi_mensuel!$A:$A,A13,Suivi_mensuel!$B:$B,$A$1)</f>
        <v>60.8</v>
      </c>
      <c r="H13" s="18">
        <f t="shared" si="2"/>
        <v>1.0103550295857988</v>
      </c>
      <c r="I13" s="18">
        <f t="shared" si="3"/>
        <v>1.0110197368421054</v>
      </c>
      <c r="J13" s="17">
        <f t="shared" si="4"/>
        <v>89.019033674963381</v>
      </c>
      <c r="K13" s="17">
        <f t="shared" si="5"/>
        <v>0.98096632503661851</v>
      </c>
      <c r="L13" t="str">
        <f t="shared" si="6"/>
        <v>Vert</v>
      </c>
    </row>
  </sheetData>
  <autoFilter ref="A3:L13" xr:uid="{17592E4E-3320-4085-8E59-8E1A34EFF459}">
    <sortState xmlns:xlrd2="http://schemas.microsoft.com/office/spreadsheetml/2017/richdata2" ref="A4:L13">
      <sortCondition ref="A3:A13"/>
    </sortState>
  </autoFilter>
  <conditionalFormatting sqref="L1:L1048576">
    <cfRule type="containsText" dxfId="2" priority="1" operator="containsText" text="rouge">
      <formula>NOT(ISERROR(SEARCH("rouge",L1)))</formula>
    </cfRule>
    <cfRule type="containsText" dxfId="1" priority="2" operator="containsText" text="orange">
      <formula>NOT(ISERROR(SEARCH("orange",L1)))</formula>
    </cfRule>
    <cfRule type="containsText" dxfId="0" priority="3" operator="containsText" text="vert">
      <formula>NOT(ISERROR(SEARCH("vert",L1)))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63CE-BC8D-45BE-89B4-749E25F507C8}">
  <dimension ref="A1:M33"/>
  <sheetViews>
    <sheetView showGridLines="0" zoomScale="80" zoomScaleNormal="80" workbookViewId="0">
      <selection activeCell="J11" sqref="J11"/>
    </sheetView>
  </sheetViews>
  <sheetFormatPr baseColWidth="10" defaultRowHeight="14.4" x14ac:dyDescent="0.3"/>
  <cols>
    <col min="1" max="1" width="2.5546875" customWidth="1"/>
    <col min="2" max="2" width="32.6640625" customWidth="1"/>
    <col min="3" max="3" width="28.6640625" customWidth="1"/>
    <col min="4" max="4" width="24.109375" customWidth="1"/>
    <col min="5" max="5" width="24.33203125" customWidth="1"/>
    <col min="6" max="6" width="23" customWidth="1"/>
    <col min="7" max="7" width="26.109375" bestFit="1" customWidth="1"/>
    <col min="8" max="8" width="57.88671875" customWidth="1"/>
  </cols>
  <sheetData>
    <row r="1" spans="1:13" ht="31.8" customHeight="1" x14ac:dyDescent="0.3">
      <c r="A1" s="35" t="s">
        <v>237</v>
      </c>
      <c r="B1" s="35"/>
      <c r="C1" s="35"/>
      <c r="D1" s="35"/>
      <c r="E1" s="35"/>
      <c r="F1" s="35"/>
      <c r="G1" s="35"/>
      <c r="H1" s="35"/>
      <c r="I1" s="20"/>
      <c r="J1" s="20"/>
      <c r="K1" s="20"/>
      <c r="L1" s="20"/>
      <c r="M1" s="20"/>
    </row>
    <row r="2" spans="1:13" s="20" customFormat="1" ht="10.8" customHeight="1" x14ac:dyDescent="0.3">
      <c r="B2" s="21"/>
      <c r="C2" s="21"/>
      <c r="D2" s="21"/>
      <c r="E2" s="21"/>
      <c r="F2" s="21"/>
    </row>
    <row r="3" spans="1:13" ht="18" x14ac:dyDescent="0.35">
      <c r="B3" s="22" t="s">
        <v>223</v>
      </c>
      <c r="C3" s="23" t="s">
        <v>224</v>
      </c>
      <c r="D3" s="23" t="s">
        <v>225</v>
      </c>
      <c r="E3" s="22" t="s">
        <v>226</v>
      </c>
      <c r="F3" s="38" t="s">
        <v>227</v>
      </c>
      <c r="G3" s="38"/>
      <c r="H3" s="23" t="s">
        <v>222</v>
      </c>
      <c r="I3" s="20"/>
      <c r="J3" s="20"/>
      <c r="K3" s="20"/>
      <c r="L3" s="20"/>
      <c r="M3" s="20"/>
    </row>
    <row r="4" spans="1:13" ht="14.4" customHeight="1" x14ac:dyDescent="0.3">
      <c r="B4" s="39">
        <f>+COUNTIF(Calcul!$L$4:$L$13,"Rouge")</f>
        <v>3</v>
      </c>
      <c r="C4" s="40">
        <f>+COUNTIF(Calcul!$L$4:$L$13,"orange")</f>
        <v>2</v>
      </c>
      <c r="D4" s="41">
        <f>+COUNTIF(Calcul!$L$4:$L$13,"vert")</f>
        <v>5</v>
      </c>
      <c r="E4" s="37">
        <f>SUM(Calcul!$D$4:$D$13)</f>
        <v>2860</v>
      </c>
      <c r="F4" s="37">
        <f>SUM(Calcul!$J$4:$J$13)</f>
        <v>3032.7015061752245</v>
      </c>
      <c r="G4" s="37"/>
      <c r="H4" s="36">
        <f>SUM(Calcul!$K$4:$K$13)</f>
        <v>-172.70150617522512</v>
      </c>
      <c r="I4" s="20"/>
      <c r="J4" s="20"/>
      <c r="K4" s="20"/>
      <c r="L4" s="20"/>
      <c r="M4" s="20"/>
    </row>
    <row r="5" spans="1:13" ht="14.4" customHeight="1" x14ac:dyDescent="0.3">
      <c r="B5" s="39"/>
      <c r="C5" s="40"/>
      <c r="D5" s="41"/>
      <c r="E5" s="37"/>
      <c r="F5" s="37"/>
      <c r="G5" s="37"/>
      <c r="H5" s="36"/>
      <c r="I5" s="20"/>
      <c r="J5" s="20"/>
      <c r="K5" s="20"/>
      <c r="L5" s="20"/>
      <c r="M5" s="20"/>
    </row>
    <row r="6" spans="1:13" ht="14.4" customHeight="1" x14ac:dyDescent="0.3">
      <c r="B6" s="39"/>
      <c r="C6" s="40"/>
      <c r="D6" s="41"/>
      <c r="E6" s="37"/>
      <c r="F6" s="37"/>
      <c r="G6" s="37"/>
      <c r="H6" s="36"/>
      <c r="I6" s="20"/>
      <c r="J6" s="20"/>
      <c r="K6" s="20"/>
      <c r="L6" s="20"/>
      <c r="M6" s="20"/>
    </row>
    <row r="7" spans="1:13" x14ac:dyDescent="0.3">
      <c r="G7" s="20"/>
      <c r="H7" s="20"/>
      <c r="I7" s="20"/>
      <c r="J7" s="20"/>
      <c r="K7" s="20"/>
      <c r="L7" s="20"/>
      <c r="M7" s="20"/>
    </row>
    <row r="8" spans="1:13" x14ac:dyDescent="0.3">
      <c r="G8" s="20"/>
      <c r="H8" s="20"/>
      <c r="I8" s="20"/>
      <c r="J8" s="20"/>
      <c r="K8" s="20"/>
      <c r="L8" s="20"/>
      <c r="M8" s="20"/>
    </row>
    <row r="9" spans="1:13" x14ac:dyDescent="0.3">
      <c r="G9" s="20"/>
      <c r="H9" s="20"/>
      <c r="I9" s="20"/>
      <c r="J9" s="20"/>
      <c r="K9" s="20"/>
      <c r="L9" s="20"/>
      <c r="M9" s="20"/>
    </row>
    <row r="10" spans="1:13" x14ac:dyDescent="0.3">
      <c r="G10" s="20"/>
      <c r="H10" s="20"/>
      <c r="I10" s="20"/>
      <c r="J10" s="20"/>
      <c r="K10" s="20"/>
      <c r="L10" s="20"/>
      <c r="M10" s="20"/>
    </row>
    <row r="11" spans="1:13" x14ac:dyDescent="0.3">
      <c r="G11" s="20"/>
      <c r="H11" s="20"/>
      <c r="I11" s="20"/>
      <c r="J11" s="20"/>
      <c r="K11" s="20"/>
      <c r="L11" s="20"/>
      <c r="M11" s="20"/>
    </row>
    <row r="12" spans="1:13" x14ac:dyDescent="0.3">
      <c r="G12" s="20"/>
      <c r="H12" s="20"/>
      <c r="I12" s="20"/>
      <c r="J12" s="20"/>
      <c r="K12" s="20"/>
      <c r="L12" s="20"/>
      <c r="M12" s="20"/>
    </row>
    <row r="13" spans="1:13" x14ac:dyDescent="0.3">
      <c r="G13" s="20"/>
      <c r="H13" s="20"/>
      <c r="I13" s="20"/>
      <c r="J13" s="20"/>
      <c r="K13" s="20"/>
      <c r="L13" s="20"/>
      <c r="M13" s="20"/>
    </row>
    <row r="14" spans="1:13" x14ac:dyDescent="0.3">
      <c r="G14" s="20"/>
      <c r="H14" s="20"/>
      <c r="I14" s="20"/>
      <c r="J14" s="20"/>
      <c r="K14" s="20"/>
      <c r="L14" s="20"/>
      <c r="M14" s="20"/>
    </row>
    <row r="15" spans="1:13" x14ac:dyDescent="0.3">
      <c r="G15" s="20"/>
      <c r="H15" s="20"/>
      <c r="I15" s="20"/>
      <c r="J15" s="20"/>
      <c r="K15" s="20"/>
      <c r="L15" s="20"/>
      <c r="M15" s="20"/>
    </row>
    <row r="16" spans="1:13" x14ac:dyDescent="0.3">
      <c r="G16" s="20"/>
      <c r="H16" s="20"/>
      <c r="I16" s="20"/>
      <c r="J16" s="20"/>
      <c r="K16" s="20"/>
      <c r="L16" s="20"/>
      <c r="M16" s="20"/>
    </row>
    <row r="17" spans="2:13" x14ac:dyDescent="0.3">
      <c r="G17" s="20"/>
      <c r="H17" s="20"/>
      <c r="I17" s="20"/>
      <c r="J17" s="20"/>
      <c r="K17" s="20"/>
      <c r="L17" s="20"/>
      <c r="M17" s="20"/>
    </row>
    <row r="18" spans="2:13" x14ac:dyDescent="0.3">
      <c r="G18" s="20"/>
      <c r="H18" s="20"/>
      <c r="I18" s="20"/>
      <c r="J18" s="20"/>
      <c r="K18" s="20"/>
      <c r="L18" s="20"/>
      <c r="M18" s="20"/>
    </row>
    <row r="19" spans="2:13" x14ac:dyDescent="0.3">
      <c r="G19" s="20"/>
      <c r="H19" s="20"/>
      <c r="I19" s="20"/>
      <c r="J19" s="20"/>
      <c r="K19" s="20"/>
      <c r="L19" s="20"/>
      <c r="M19" s="20"/>
    </row>
    <row r="20" spans="2:13" x14ac:dyDescent="0.3">
      <c r="G20" s="20"/>
      <c r="H20" s="20"/>
      <c r="I20" s="20"/>
      <c r="J20" s="20"/>
      <c r="K20" s="20"/>
      <c r="L20" s="20"/>
      <c r="M20" s="20"/>
    </row>
    <row r="21" spans="2:13" x14ac:dyDescent="0.3">
      <c r="G21" s="20"/>
      <c r="H21" s="20"/>
      <c r="I21" s="20"/>
      <c r="J21" s="20"/>
      <c r="K21" s="20"/>
      <c r="L21" s="20"/>
      <c r="M21" s="20"/>
    </row>
    <row r="22" spans="2:13" x14ac:dyDescent="0.3">
      <c r="G22" s="20"/>
      <c r="H22" s="20"/>
      <c r="I22" s="20"/>
      <c r="J22" s="20"/>
      <c r="K22" s="20"/>
      <c r="L22" s="20"/>
      <c r="M22" s="20"/>
    </row>
    <row r="29" spans="2:13" ht="18" x14ac:dyDescent="0.35">
      <c r="B29" s="34" t="s">
        <v>236</v>
      </c>
      <c r="C29" s="34"/>
      <c r="D29" s="24"/>
      <c r="E29" s="24"/>
      <c r="F29" s="24"/>
      <c r="G29" s="24"/>
      <c r="H29" s="24"/>
    </row>
    <row r="30" spans="2:13" ht="18.600000000000001" thickBot="1" x14ac:dyDescent="0.4">
      <c r="B30" s="27" t="s">
        <v>228</v>
      </c>
      <c r="C30" s="27" t="s">
        <v>12</v>
      </c>
      <c r="D30" s="27" t="s">
        <v>68</v>
      </c>
      <c r="E30" s="27" t="s">
        <v>213</v>
      </c>
      <c r="F30" s="27" t="s">
        <v>214</v>
      </c>
      <c r="G30" s="27" t="s">
        <v>222</v>
      </c>
      <c r="H30" s="27" t="s">
        <v>229</v>
      </c>
      <c r="I30" s="26"/>
    </row>
    <row r="31" spans="2:13" x14ac:dyDescent="0.3">
      <c r="B31" s="28">
        <v>1</v>
      </c>
      <c r="C31" s="28" t="s">
        <v>230</v>
      </c>
      <c r="D31" s="29" t="s">
        <v>220</v>
      </c>
      <c r="E31" s="30">
        <v>0.77651083238312435</v>
      </c>
      <c r="F31" s="30">
        <v>0.85166748406081416</v>
      </c>
      <c r="G31" s="31">
        <v>-88.825256975036723</v>
      </c>
      <c r="H31" s="32" t="s">
        <v>234</v>
      </c>
    </row>
    <row r="32" spans="2:13" x14ac:dyDescent="0.3">
      <c r="B32" s="28">
        <v>2</v>
      </c>
      <c r="C32" s="28" t="s">
        <v>231</v>
      </c>
      <c r="D32" s="29" t="s">
        <v>220</v>
      </c>
      <c r="E32" s="30">
        <v>0.71800000000000008</v>
      </c>
      <c r="F32" s="30">
        <v>0.80423148724331062</v>
      </c>
      <c r="G32" s="31">
        <v>-43.816155988857901</v>
      </c>
      <c r="H32" s="32" t="s">
        <v>233</v>
      </c>
    </row>
    <row r="33" spans="2:8" x14ac:dyDescent="0.3">
      <c r="B33" s="28">
        <v>3</v>
      </c>
      <c r="C33" s="28" t="s">
        <v>232</v>
      </c>
      <c r="D33" s="33" t="s">
        <v>221</v>
      </c>
      <c r="E33" s="30">
        <v>0.90800000000000014</v>
      </c>
      <c r="F33" s="30">
        <v>0.92527173913043492</v>
      </c>
      <c r="G33" s="31">
        <v>-24.229074889867775</v>
      </c>
      <c r="H33" s="32" t="s">
        <v>235</v>
      </c>
    </row>
  </sheetData>
  <mergeCells count="9">
    <mergeCell ref="B29:C29"/>
    <mergeCell ref="A1:H1"/>
    <mergeCell ref="H4:H6"/>
    <mergeCell ref="F4:G6"/>
    <mergeCell ref="F3:G3"/>
    <mergeCell ref="B4:B6"/>
    <mergeCell ref="C4:C6"/>
    <mergeCell ref="D4:D6"/>
    <mergeCell ref="E4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Lisez-moi</vt:lpstr>
      <vt:lpstr>Projets</vt:lpstr>
      <vt:lpstr>Jalons</vt:lpstr>
      <vt:lpstr>Suivi_mensuel</vt:lpstr>
      <vt:lpstr>Risques</vt:lpstr>
      <vt:lpstr>KPIs_produit</vt:lpstr>
      <vt:lpstr>Calcul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Edoh Alix GBEDJEHA</cp:lastModifiedBy>
  <dcterms:created xsi:type="dcterms:W3CDTF">2026-09-26T21:35:57Z</dcterms:created>
  <dcterms:modified xsi:type="dcterms:W3CDTF">2026-09-30T13:31:31Z</dcterms:modified>
</cp:coreProperties>
</file>